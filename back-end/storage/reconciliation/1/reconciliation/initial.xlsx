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DIENTES EXTRACTO" sheetId="1" r:id="rId4"/>
    <sheet state="visible" name="PENDIENTES CONTABLE" sheetId="2" r:id="rId5"/>
  </sheets>
  <definedNames/>
  <calcPr/>
  <extLst>
    <ext uri="GoogleSheetsCustomDataVersion2">
      <go:sheetsCustomData xmlns:go="http://customooxmlschemas.google.com/" r:id="rId6" roundtripDataChecksum="5I5UUX17h9+xhjx+u5623WHbTkjGUyq/mzmamjuzOmk="/>
    </ext>
  </extLst>
</workbook>
</file>

<file path=xl/sharedStrings.xml><?xml version="1.0" encoding="utf-8"?>
<sst xmlns="http://schemas.openxmlformats.org/spreadsheetml/2006/main" count="273" uniqueCount="49">
  <si>
    <t>CODIGO BANCO</t>
  </si>
  <si>
    <t>TIPO DE CUENTA</t>
  </si>
  <si>
    <t>NUMERO DE CUENTA</t>
  </si>
  <si>
    <t>FECHA DE MOVIMIENTO</t>
  </si>
  <si>
    <t>REFERENCIA 1</t>
  </si>
  <si>
    <t>REFERENCIA 2</t>
  </si>
  <si>
    <t>REFERENCIA 3</t>
  </si>
  <si>
    <t>DESCRIPCION</t>
  </si>
  <si>
    <t>VALOR CREDITO</t>
  </si>
  <si>
    <t>VALOR DEBITO</t>
  </si>
  <si>
    <t>cta cte</t>
  </si>
  <si>
    <t>039-137051-24</t>
  </si>
  <si>
    <t>IVA POR SERVICIO DE RECAUDO</t>
  </si>
  <si>
    <t>4XMIL GRAVAMEN MVTO FINANCIERO</t>
  </si>
  <si>
    <t>9175015594901827</t>
  </si>
  <si>
    <t>PAGO DE TERC</t>
  </si>
  <si>
    <t>039-356629-46</t>
  </si>
  <si>
    <t>3201344815</t>
  </si>
  <si>
    <t>TRANSFERENCIA CTA SUC VIRTUAL</t>
  </si>
  <si>
    <t>TESSI GESTIONA S</t>
  </si>
  <si>
    <t>79367842</t>
  </si>
  <si>
    <t>CONSIG LOCAL REFEREN EFECTIVO</t>
  </si>
  <si>
    <t>8300531806</t>
  </si>
  <si>
    <t>36169786</t>
  </si>
  <si>
    <t>20795788170</t>
  </si>
  <si>
    <t>3065621621</t>
  </si>
  <si>
    <t>51586102</t>
  </si>
  <si>
    <t>ALFONSO URIBE S</t>
  </si>
  <si>
    <t>41557894</t>
  </si>
  <si>
    <t>860007327105</t>
  </si>
  <si>
    <t>COMISION CAJA CODIGO DE BARRAS</t>
  </si>
  <si>
    <t>COMISION RECAUDOS CAJA LOCAL</t>
  </si>
  <si>
    <t xml:space="preserve"> </t>
  </si>
  <si>
    <t>DEV CHEQUE CONSIG CAUSAL 14</t>
  </si>
  <si>
    <t xml:space="preserve"> CARGO POR OTROS CONCEPTOS SIN GMF</t>
  </si>
  <si>
    <t>SIN MOVIMIENTO</t>
  </si>
  <si>
    <t>TOTALES</t>
  </si>
  <si>
    <t>NUMERO DE CUENTA CONTABLE</t>
  </si>
  <si>
    <t>NUMERO DE CUENTA BANCARIA</t>
  </si>
  <si>
    <t>COMPROBANTE CONTABLE</t>
  </si>
  <si>
    <t>TERCERO</t>
  </si>
  <si>
    <t>890903938</t>
  </si>
  <si>
    <t>IVA</t>
  </si>
  <si>
    <t>1</t>
  </si>
  <si>
    <t>RECAUDO BANCOS</t>
  </si>
  <si>
    <t>830053180</t>
  </si>
  <si>
    <t>2881953</t>
  </si>
  <si>
    <t>Gravamen a los Movimientos Financieros</t>
  </si>
  <si>
    <t>COMISION SERVICIO RECAUDO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</si>
</sst>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.00_);_(* \(#,##0.00\);_(* &quot;-&quot;??_);_(@_)"/>
    <numFmt numFmtId="165" formatCode="_(* #,##0.00_);_(* \(#,##0.00\);_(* &quot;-&quot;_);_(@_)"/>
  </numFmts>
  <fonts count="6">
    <font>
      <sz val="11.0"/>
      <color theme="1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theme="1"/>
      <name val="Calibri"/>
    </font>
    <font>
      <color theme="1"/>
      <name val="Arial"/>
      <scheme val="minor"/>
    </font>
    <font>
      <b/>
      <sz val="11.0"/>
      <color rgb="FF3E5569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4BD97"/>
        <bgColor rgb="FFC4BD97"/>
      </patternFill>
    </fill>
    <fill>
      <patternFill patternType="solid">
        <fgColor rgb="FFFFFF00"/>
        <bgColor rgb="FFFFFF00"/>
      </patternFill>
    </fill>
  </fills>
  <borders count="10">
    <border/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164" xfId="0" applyAlignment="1" applyBorder="1" applyFont="1" applyNumberFormat="1">
      <alignment horizontal="center" shrinkToFit="0" vertical="center" wrapText="1"/>
    </xf>
    <xf borderId="0" fillId="0" fontId="2" numFmtId="0" xfId="0" applyFont="1"/>
    <xf borderId="3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0" fontId="2" numFmtId="164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/>
    </xf>
    <xf borderId="3" fillId="0" fontId="2" numFmtId="164" xfId="0" applyBorder="1" applyFont="1" applyNumberFormat="1"/>
    <xf borderId="0" fillId="0" fontId="2" numFmtId="164" xfId="0" applyFont="1" applyNumberFormat="1"/>
    <xf borderId="0" fillId="0" fontId="2" numFmtId="0" xfId="0" applyAlignment="1" applyFont="1">
      <alignment readingOrder="0"/>
    </xf>
    <xf borderId="3" fillId="0" fontId="2" numFmtId="0" xfId="0" applyBorder="1" applyFont="1"/>
    <xf borderId="3" fillId="0" fontId="2" numFmtId="14" xfId="0" applyBorder="1" applyFont="1" applyNumberFormat="1"/>
    <xf borderId="4" fillId="3" fontId="3" numFmtId="0" xfId="0" applyBorder="1" applyFill="1" applyFont="1"/>
    <xf borderId="5" fillId="3" fontId="3" numFmtId="0" xfId="0" applyBorder="1" applyFont="1"/>
    <xf borderId="5" fillId="3" fontId="3" numFmtId="164" xfId="0" applyBorder="1" applyFont="1" applyNumberFormat="1"/>
    <xf borderId="1" fillId="2" fontId="1" numFmtId="1" xfId="0" applyAlignment="1" applyBorder="1" applyFont="1" applyNumberFormat="1">
      <alignment horizontal="center" shrinkToFit="0" vertical="center" wrapText="1"/>
    </xf>
    <xf borderId="6" fillId="2" fontId="1" numFmtId="164" xfId="0" applyAlignment="1" applyBorder="1" applyFont="1" applyNumberFormat="1">
      <alignment horizontal="center" shrinkToFit="0" vertical="center" wrapText="1"/>
    </xf>
    <xf borderId="3" fillId="0" fontId="2" numFmtId="1" xfId="0" applyAlignment="1" applyBorder="1" applyFont="1" applyNumberFormat="1">
      <alignment horizontal="center" vertical="center"/>
    </xf>
    <xf borderId="3" fillId="0" fontId="1" numFmtId="49" xfId="0" applyAlignment="1" applyBorder="1" applyFont="1" applyNumberFormat="1">
      <alignment horizontal="center" shrinkToFit="0" vertical="center" wrapText="1"/>
    </xf>
    <xf borderId="3" fillId="0" fontId="2" numFmtId="164" xfId="0" applyAlignment="1" applyBorder="1" applyFont="1" applyNumberFormat="1">
      <alignment horizontal="left"/>
    </xf>
    <xf borderId="3" fillId="0" fontId="2" numFmtId="165" xfId="0" applyBorder="1" applyFont="1" applyNumberFormat="1"/>
    <xf borderId="0" fillId="0" fontId="4" numFmtId="164" xfId="0" applyFont="1" applyNumberFormat="1"/>
    <xf borderId="0" fillId="0" fontId="5" numFmtId="0" xfId="0" applyFont="1"/>
    <xf borderId="3" fillId="0" fontId="2" numFmtId="1" xfId="0" applyBorder="1" applyFont="1" applyNumberFormat="1"/>
    <xf borderId="3" fillId="0" fontId="2" numFmtId="14" xfId="0" applyAlignment="1" applyBorder="1" applyFont="1" applyNumberFormat="1">
      <alignment horizontal="left"/>
    </xf>
    <xf borderId="3" fillId="0" fontId="2" numFmtId="0" xfId="0" applyAlignment="1" applyBorder="1" applyFont="1">
      <alignment horizontal="left"/>
    </xf>
    <xf borderId="3" fillId="0" fontId="1" numFmtId="49" xfId="0" applyAlignment="1" applyBorder="1" applyFont="1" applyNumberFormat="1">
      <alignment horizontal="left" shrinkToFit="0" vertical="top" wrapText="1"/>
    </xf>
    <xf borderId="3" fillId="0" fontId="2" numFmtId="1" xfId="0" applyAlignment="1" applyBorder="1" applyFont="1" applyNumberFormat="1">
      <alignment readingOrder="0"/>
    </xf>
    <xf borderId="7" fillId="0" fontId="2" numFmtId="1" xfId="0" applyBorder="1" applyFont="1" applyNumberFormat="1"/>
    <xf borderId="8" fillId="0" fontId="2" numFmtId="0" xfId="0" applyBorder="1" applyFont="1"/>
    <xf borderId="8" fillId="0" fontId="1" numFmtId="0" xfId="0" applyBorder="1" applyFont="1"/>
    <xf borderId="9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2" max="2" width="11.5"/>
    <col customWidth="1" min="3" max="3" width="13.38"/>
    <col customWidth="1" min="4" max="4" width="15.75"/>
    <col customWidth="1" min="5" max="5" width="15.5"/>
    <col customWidth="1" min="6" max="6" width="15.25"/>
    <col customWidth="1" min="7" max="7" width="13.63"/>
    <col customWidth="1" min="8" max="8" width="31.63"/>
    <col customWidth="1" min="9" max="9" width="18.38"/>
    <col customWidth="1" min="10" max="10" width="17.13"/>
    <col customWidth="1" min="11" max="11" width="13.38"/>
    <col customWidth="1" min="12" max="25" width="9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>
        <v>7.0</v>
      </c>
      <c r="B2" s="5" t="s">
        <v>10</v>
      </c>
      <c r="C2" s="5" t="s">
        <v>11</v>
      </c>
      <c r="D2" s="6">
        <v>44043.0</v>
      </c>
      <c r="E2" s="5"/>
      <c r="F2" s="5"/>
      <c r="G2" s="5"/>
      <c r="H2" s="7" t="s">
        <v>12</v>
      </c>
      <c r="I2" s="5">
        <v>0.0</v>
      </c>
      <c r="J2" s="8">
        <v>217.53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5">
        <v>7.0</v>
      </c>
      <c r="B3" s="5" t="s">
        <v>10</v>
      </c>
      <c r="C3" s="5" t="s">
        <v>11</v>
      </c>
      <c r="D3" s="6">
        <v>44043.0</v>
      </c>
      <c r="E3" s="5"/>
      <c r="F3" s="7"/>
      <c r="G3" s="5"/>
      <c r="H3" s="7" t="s">
        <v>13</v>
      </c>
      <c r="I3" s="5">
        <v>0.0</v>
      </c>
      <c r="J3" s="8">
        <v>1057.8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5">
        <v>7.0</v>
      </c>
      <c r="B4" s="5" t="s">
        <v>10</v>
      </c>
      <c r="C4" s="5" t="s">
        <v>11</v>
      </c>
      <c r="D4" s="6">
        <v>44043.0</v>
      </c>
      <c r="E4" s="5"/>
      <c r="F4" s="5"/>
      <c r="G4" s="5"/>
      <c r="H4" s="7" t="s">
        <v>12</v>
      </c>
      <c r="I4" s="5">
        <v>0.0</v>
      </c>
      <c r="J4" s="8">
        <v>1339.5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5">
        <v>7.0</v>
      </c>
      <c r="B5" s="5" t="s">
        <v>10</v>
      </c>
      <c r="C5" s="5" t="s">
        <v>11</v>
      </c>
      <c r="D5" s="6">
        <v>44043.0</v>
      </c>
      <c r="E5" s="5"/>
      <c r="F5" s="5"/>
      <c r="G5" s="5"/>
      <c r="H5" s="7" t="s">
        <v>12</v>
      </c>
      <c r="I5" s="5">
        <v>0.0</v>
      </c>
      <c r="J5" s="8">
        <v>6764.0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5">
        <v>7.0</v>
      </c>
      <c r="B6" s="5" t="s">
        <v>10</v>
      </c>
      <c r="C6" s="5" t="s">
        <v>11</v>
      </c>
      <c r="D6" s="10">
        <v>44043.0</v>
      </c>
      <c r="E6" s="5"/>
      <c r="F6" s="5"/>
      <c r="G6" s="5"/>
      <c r="H6" s="7" t="s">
        <v>12</v>
      </c>
      <c r="I6" s="5">
        <v>0.0</v>
      </c>
      <c r="J6" s="11">
        <v>8455.0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5">
        <v>7.0</v>
      </c>
      <c r="B7" s="5" t="s">
        <v>10</v>
      </c>
      <c r="C7" s="5" t="s">
        <v>11</v>
      </c>
      <c r="D7" s="10">
        <v>44043.0</v>
      </c>
      <c r="E7" s="5"/>
      <c r="F7" s="5"/>
      <c r="G7" s="5"/>
      <c r="H7" s="7" t="s">
        <v>12</v>
      </c>
      <c r="I7" s="5">
        <v>0.0</v>
      </c>
      <c r="J7" s="11">
        <v>10716.0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5">
        <v>7.0</v>
      </c>
      <c r="B8" s="5" t="s">
        <v>10</v>
      </c>
      <c r="C8" s="5" t="s">
        <v>11</v>
      </c>
      <c r="D8" s="10">
        <v>44043.0</v>
      </c>
      <c r="E8" s="5"/>
      <c r="F8" s="5"/>
      <c r="G8" s="5"/>
      <c r="H8" s="7" t="s">
        <v>12</v>
      </c>
      <c r="I8" s="5">
        <v>0.0</v>
      </c>
      <c r="J8" s="11">
        <v>14730.43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5">
        <v>7.0</v>
      </c>
      <c r="B9" s="5" t="s">
        <v>10</v>
      </c>
      <c r="C9" s="5" t="s">
        <v>11</v>
      </c>
      <c r="D9" s="12">
        <v>44032.0</v>
      </c>
      <c r="E9" s="13" t="s">
        <v>14</v>
      </c>
      <c r="F9" s="13"/>
      <c r="G9" s="13"/>
      <c r="H9" s="13" t="s">
        <v>15</v>
      </c>
      <c r="I9" s="14">
        <v>0.0</v>
      </c>
      <c r="J9" s="14">
        <v>147408.0</v>
      </c>
      <c r="K9" s="15">
        <f>SUM(J2:J9)</f>
        <v>190688.26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5">
        <v>7.0</v>
      </c>
      <c r="B10" s="5" t="s">
        <v>10</v>
      </c>
      <c r="C10" s="13" t="s">
        <v>16</v>
      </c>
      <c r="D10" s="12">
        <v>44043.0</v>
      </c>
      <c r="E10" s="13" t="s">
        <v>17</v>
      </c>
      <c r="F10" s="13"/>
      <c r="G10" s="13"/>
      <c r="H10" s="13" t="s">
        <v>18</v>
      </c>
      <c r="I10" s="14">
        <v>280000.0</v>
      </c>
      <c r="J10" s="14">
        <v>0.0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5">
        <v>7.0</v>
      </c>
      <c r="B11" s="5" t="s">
        <v>10</v>
      </c>
      <c r="C11" s="13" t="s">
        <v>16</v>
      </c>
      <c r="D11" s="12">
        <v>44043.0</v>
      </c>
      <c r="E11" s="13" t="s">
        <v>19</v>
      </c>
      <c r="F11" s="13" t="s">
        <v>19</v>
      </c>
      <c r="G11" s="13"/>
      <c r="H11" s="13" t="s">
        <v>15</v>
      </c>
      <c r="I11" s="14">
        <v>640056.0</v>
      </c>
      <c r="J11" s="14">
        <v>0.0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5">
        <v>7.0</v>
      </c>
      <c r="B12" s="5" t="s">
        <v>10</v>
      </c>
      <c r="C12" s="13" t="s">
        <v>16</v>
      </c>
      <c r="D12" s="12">
        <v>44043.0</v>
      </c>
      <c r="E12" s="13" t="s">
        <v>20</v>
      </c>
      <c r="F12" s="13"/>
      <c r="G12" s="13"/>
      <c r="H12" s="13" t="s">
        <v>21</v>
      </c>
      <c r="I12" s="14">
        <v>1500000.0</v>
      </c>
      <c r="J12" s="14">
        <v>0.0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5">
        <v>7.0</v>
      </c>
      <c r="B13" s="5" t="s">
        <v>10</v>
      </c>
      <c r="C13" s="13" t="s">
        <v>16</v>
      </c>
      <c r="D13" s="12">
        <v>44043.0</v>
      </c>
      <c r="E13" s="13" t="s">
        <v>22</v>
      </c>
      <c r="F13" s="13"/>
      <c r="G13" s="13"/>
      <c r="H13" s="13" t="s">
        <v>21</v>
      </c>
      <c r="I13" s="14">
        <v>2623865.0</v>
      </c>
      <c r="J13" s="14">
        <v>0.0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5">
        <v>7.0</v>
      </c>
      <c r="B14" s="5" t="s">
        <v>10</v>
      </c>
      <c r="C14" s="13" t="s">
        <v>16</v>
      </c>
      <c r="D14" s="12">
        <v>44043.0</v>
      </c>
      <c r="E14" s="13" t="s">
        <v>23</v>
      </c>
      <c r="F14" s="13"/>
      <c r="G14" s="13"/>
      <c r="H14" s="13" t="s">
        <v>21</v>
      </c>
      <c r="I14" s="14">
        <v>2785000.0</v>
      </c>
      <c r="J14" s="14">
        <v>0.0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5">
        <v>7.0</v>
      </c>
      <c r="B15" s="5" t="s">
        <v>10</v>
      </c>
      <c r="C15" s="13" t="s">
        <v>16</v>
      </c>
      <c r="D15" s="12">
        <v>44042.0</v>
      </c>
      <c r="E15" s="13" t="s">
        <v>24</v>
      </c>
      <c r="F15" s="13"/>
      <c r="G15" s="13"/>
      <c r="H15" s="13" t="s">
        <v>18</v>
      </c>
      <c r="I15" s="14">
        <v>5500000.0</v>
      </c>
      <c r="J15" s="14">
        <v>0.0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5">
        <v>7.0</v>
      </c>
      <c r="B16" s="5" t="s">
        <v>10</v>
      </c>
      <c r="C16" s="13" t="s">
        <v>16</v>
      </c>
      <c r="D16" s="12">
        <v>44043.0</v>
      </c>
      <c r="E16" s="13" t="s">
        <v>25</v>
      </c>
      <c r="F16" s="13"/>
      <c r="G16" s="13"/>
      <c r="H16" s="13" t="s">
        <v>18</v>
      </c>
      <c r="I16" s="14">
        <v>5600000.0</v>
      </c>
      <c r="J16" s="14">
        <v>0.0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5">
        <v>7.0</v>
      </c>
      <c r="B17" s="5" t="s">
        <v>10</v>
      </c>
      <c r="C17" s="13" t="s">
        <v>16</v>
      </c>
      <c r="D17" s="12">
        <v>44043.0</v>
      </c>
      <c r="E17" s="13" t="s">
        <v>26</v>
      </c>
      <c r="F17" s="13"/>
      <c r="G17" s="13"/>
      <c r="H17" s="13" t="s">
        <v>15</v>
      </c>
      <c r="I17" s="14">
        <v>9000000.0</v>
      </c>
      <c r="J17" s="14">
        <v>0.0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5">
        <v>7.0</v>
      </c>
      <c r="B18" s="5" t="s">
        <v>10</v>
      </c>
      <c r="C18" s="13" t="s">
        <v>16</v>
      </c>
      <c r="D18" s="12">
        <v>44043.0</v>
      </c>
      <c r="E18" s="13" t="s">
        <v>27</v>
      </c>
      <c r="F18" s="13" t="s">
        <v>27</v>
      </c>
      <c r="G18" s="13"/>
      <c r="H18" s="13" t="s">
        <v>15</v>
      </c>
      <c r="I18" s="14">
        <v>1.3820806E7</v>
      </c>
      <c r="J18" s="14">
        <v>0.0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5">
        <v>7.0</v>
      </c>
      <c r="B19" s="5" t="s">
        <v>10</v>
      </c>
      <c r="C19" s="13" t="s">
        <v>16</v>
      </c>
      <c r="D19" s="12">
        <v>44043.0</v>
      </c>
      <c r="E19" s="13" t="s">
        <v>28</v>
      </c>
      <c r="F19" s="13"/>
      <c r="G19" s="13"/>
      <c r="H19" s="13" t="s">
        <v>21</v>
      </c>
      <c r="I19" s="14">
        <v>2.0E7</v>
      </c>
      <c r="J19" s="14">
        <v>0.0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15.75" customHeight="1">
      <c r="A20" s="5">
        <v>7.0</v>
      </c>
      <c r="B20" s="5" t="s">
        <v>10</v>
      </c>
      <c r="C20" s="13" t="s">
        <v>16</v>
      </c>
      <c r="D20" s="12">
        <v>44043.0</v>
      </c>
      <c r="E20" s="13" t="s">
        <v>29</v>
      </c>
      <c r="F20" s="13"/>
      <c r="G20" s="13"/>
      <c r="H20" s="13" t="s">
        <v>21</v>
      </c>
      <c r="I20" s="14">
        <v>2.2177133E7</v>
      </c>
      <c r="J20" s="14">
        <v>0.0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5">
        <v>7.0</v>
      </c>
      <c r="B21" s="5" t="s">
        <v>10</v>
      </c>
      <c r="C21" s="13" t="s">
        <v>16</v>
      </c>
      <c r="D21" s="12">
        <v>44042.0</v>
      </c>
      <c r="E21" s="13"/>
      <c r="F21" s="13"/>
      <c r="G21" s="13"/>
      <c r="H21" s="13" t="s">
        <v>21</v>
      </c>
      <c r="I21" s="14">
        <v>2.6E8</v>
      </c>
      <c r="J21" s="14">
        <v>0.0</v>
      </c>
      <c r="K21" s="15">
        <f>SUM(I10:I21)</f>
        <v>343926860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5">
        <v>7.0</v>
      </c>
      <c r="B22" s="5" t="s">
        <v>10</v>
      </c>
      <c r="C22" s="13" t="s">
        <v>16</v>
      </c>
      <c r="D22" s="12">
        <v>44042.0</v>
      </c>
      <c r="E22" s="13"/>
      <c r="F22" s="13"/>
      <c r="G22" s="13"/>
      <c r="H22" s="7" t="s">
        <v>13</v>
      </c>
      <c r="I22" s="14">
        <v>0.0</v>
      </c>
      <c r="J22" s="14">
        <v>50.93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5">
        <v>7.0</v>
      </c>
      <c r="B23" s="5" t="s">
        <v>10</v>
      </c>
      <c r="C23" s="13" t="s">
        <v>16</v>
      </c>
      <c r="D23" s="12">
        <v>44043.0</v>
      </c>
      <c r="E23" s="13"/>
      <c r="F23" s="13"/>
      <c r="G23" s="13"/>
      <c r="H23" s="7" t="s">
        <v>13</v>
      </c>
      <c r="I23" s="14">
        <v>0.0</v>
      </c>
      <c r="J23" s="14">
        <v>118.76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5">
        <v>7.0</v>
      </c>
      <c r="B24" s="5" t="s">
        <v>10</v>
      </c>
      <c r="C24" s="13" t="s">
        <v>16</v>
      </c>
      <c r="D24" s="12">
        <v>44043.0</v>
      </c>
      <c r="E24" s="13"/>
      <c r="F24" s="13"/>
      <c r="G24" s="13"/>
      <c r="H24" s="7" t="s">
        <v>12</v>
      </c>
      <c r="I24" s="14">
        <v>0.0</v>
      </c>
      <c r="J24" s="14">
        <v>845.5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5">
        <v>7.0</v>
      </c>
      <c r="B25" s="5" t="s">
        <v>10</v>
      </c>
      <c r="C25" s="13" t="s">
        <v>16</v>
      </c>
      <c r="D25" s="12">
        <v>44043.0</v>
      </c>
      <c r="E25" s="13"/>
      <c r="F25" s="13"/>
      <c r="G25" s="13"/>
      <c r="H25" s="7" t="s">
        <v>12</v>
      </c>
      <c r="I25" s="14">
        <v>0.0</v>
      </c>
      <c r="J25" s="14">
        <v>845.5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5">
        <v>7.0</v>
      </c>
      <c r="B26" s="5" t="s">
        <v>10</v>
      </c>
      <c r="C26" s="13" t="s">
        <v>16</v>
      </c>
      <c r="D26" s="12">
        <v>44042.0</v>
      </c>
      <c r="E26" s="13"/>
      <c r="F26" s="13"/>
      <c r="G26" s="13"/>
      <c r="H26" s="7" t="s">
        <v>12</v>
      </c>
      <c r="I26" s="14">
        <v>0.0</v>
      </c>
      <c r="J26" s="14">
        <v>2033.0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5">
        <v>7.0</v>
      </c>
      <c r="B27" s="5" t="s">
        <v>10</v>
      </c>
      <c r="C27" s="13" t="s">
        <v>16</v>
      </c>
      <c r="D27" s="12">
        <v>44043.0</v>
      </c>
      <c r="E27" s="13"/>
      <c r="F27" s="13"/>
      <c r="G27" s="13"/>
      <c r="H27" s="7" t="s">
        <v>12</v>
      </c>
      <c r="I27" s="14">
        <v>0.0</v>
      </c>
      <c r="J27" s="14">
        <v>3049.5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5">
        <v>7.0</v>
      </c>
      <c r="B28" s="5" t="s">
        <v>10</v>
      </c>
      <c r="C28" s="13" t="s">
        <v>16</v>
      </c>
      <c r="D28" s="12">
        <v>44043.0</v>
      </c>
      <c r="E28" s="13"/>
      <c r="F28" s="13"/>
      <c r="G28" s="13"/>
      <c r="H28" s="13" t="s">
        <v>30</v>
      </c>
      <c r="I28" s="14">
        <v>0.0</v>
      </c>
      <c r="J28" s="14">
        <v>4450.0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5">
        <v>7.0</v>
      </c>
      <c r="B29" s="5" t="s">
        <v>10</v>
      </c>
      <c r="C29" s="13" t="s">
        <v>16</v>
      </c>
      <c r="D29" s="12">
        <v>44043.0</v>
      </c>
      <c r="E29" s="13"/>
      <c r="F29" s="13"/>
      <c r="G29" s="13"/>
      <c r="H29" s="13" t="s">
        <v>30</v>
      </c>
      <c r="I29" s="14">
        <v>0.0</v>
      </c>
      <c r="J29" s="14">
        <v>4450.0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5">
        <v>7.0</v>
      </c>
      <c r="B30" s="5" t="s">
        <v>10</v>
      </c>
      <c r="C30" s="13" t="s">
        <v>16</v>
      </c>
      <c r="D30" s="12">
        <v>44042.0</v>
      </c>
      <c r="E30" s="13"/>
      <c r="F30" s="13"/>
      <c r="G30" s="13"/>
      <c r="H30" s="13" t="s">
        <v>31</v>
      </c>
      <c r="I30" s="14">
        <v>0.0</v>
      </c>
      <c r="J30" s="14">
        <v>10700.0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5">
        <v>7.0</v>
      </c>
      <c r="B31" s="5" t="s">
        <v>10</v>
      </c>
      <c r="C31" s="13" t="s">
        <v>16</v>
      </c>
      <c r="D31" s="12">
        <v>44043.0</v>
      </c>
      <c r="E31" s="13"/>
      <c r="F31" s="13"/>
      <c r="G31" s="13"/>
      <c r="H31" s="13" t="s">
        <v>31</v>
      </c>
      <c r="I31" s="14">
        <v>0.0</v>
      </c>
      <c r="J31" s="14">
        <v>16050.0</v>
      </c>
      <c r="K31" s="16" t="s">
        <v>32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5">
        <v>7.0</v>
      </c>
      <c r="B32" s="5" t="s">
        <v>10</v>
      </c>
      <c r="C32" s="13" t="s">
        <v>16</v>
      </c>
      <c r="D32" s="12">
        <v>44026.0</v>
      </c>
      <c r="E32" s="13"/>
      <c r="F32" s="13"/>
      <c r="G32" s="13"/>
      <c r="H32" s="13" t="s">
        <v>33</v>
      </c>
      <c r="I32" s="14">
        <v>0.0</v>
      </c>
      <c r="J32" s="14">
        <v>7.9605033E7</v>
      </c>
      <c r="K32" s="15">
        <f>SUM(J22:J32)</f>
        <v>79647626.19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5">
        <v>23.0</v>
      </c>
      <c r="B33" s="5" t="s">
        <v>10</v>
      </c>
      <c r="C33" s="17">
        <v>2.42057271E8</v>
      </c>
      <c r="D33" s="12">
        <v>44034.0</v>
      </c>
      <c r="E33" s="17"/>
      <c r="F33" s="17"/>
      <c r="G33" s="17"/>
      <c r="H33" s="13" t="s">
        <v>34</v>
      </c>
      <c r="I33" s="14">
        <v>0.0</v>
      </c>
      <c r="J33" s="14">
        <v>180000.0</v>
      </c>
      <c r="K33" s="16" t="s">
        <v>32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5">
        <v>23.0</v>
      </c>
      <c r="B34" s="5" t="s">
        <v>10</v>
      </c>
      <c r="C34" s="17">
        <v>2.42057271E8</v>
      </c>
      <c r="D34" s="12">
        <v>43977.0</v>
      </c>
      <c r="E34" s="17"/>
      <c r="F34" s="17"/>
      <c r="G34" s="17"/>
      <c r="H34" s="13" t="s">
        <v>34</v>
      </c>
      <c r="I34" s="14">
        <v>0.0</v>
      </c>
      <c r="J34" s="14">
        <v>289000.0</v>
      </c>
      <c r="K34" s="15">
        <f>SUM(J33:J34)</f>
        <v>469000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17">
        <v>23.0</v>
      </c>
      <c r="B35" s="17" t="s">
        <v>10</v>
      </c>
      <c r="C35" s="17">
        <v>2.6505663E8</v>
      </c>
      <c r="D35" s="18">
        <v>44043.0</v>
      </c>
      <c r="E35" s="17"/>
      <c r="F35" s="17"/>
      <c r="G35" s="17"/>
      <c r="H35" s="17" t="s">
        <v>35</v>
      </c>
      <c r="I35" s="14">
        <v>0.0</v>
      </c>
      <c r="J35" s="14">
        <v>0.0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17" t="s">
        <v>32</v>
      </c>
      <c r="B36" s="17" t="s">
        <v>32</v>
      </c>
      <c r="C36" s="17"/>
      <c r="D36" s="18"/>
      <c r="E36" s="17"/>
      <c r="F36" s="17"/>
      <c r="G36" s="17"/>
      <c r="H36" s="17"/>
      <c r="I36" s="14" t="s">
        <v>32</v>
      </c>
      <c r="J36" s="1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17"/>
      <c r="B37" s="17"/>
      <c r="C37" s="17"/>
      <c r="D37" s="18"/>
      <c r="E37" s="17"/>
      <c r="F37" s="17"/>
      <c r="G37" s="17"/>
      <c r="H37" s="17"/>
      <c r="I37" s="14"/>
      <c r="J37" s="1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19" t="s">
        <v>36</v>
      </c>
      <c r="B38" s="20"/>
      <c r="C38" s="20"/>
      <c r="D38" s="20"/>
      <c r="E38" s="20"/>
      <c r="F38" s="20"/>
      <c r="G38" s="20"/>
      <c r="H38" s="20"/>
      <c r="I38" s="21">
        <f t="shared" ref="I38:J38" si="1">SUM(I2:I37)</f>
        <v>343926860</v>
      </c>
      <c r="J38" s="21">
        <f t="shared" si="1"/>
        <v>80307314.45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4"/>
      <c r="B39" s="4"/>
      <c r="C39" s="15"/>
      <c r="D39" s="4"/>
      <c r="E39" s="4"/>
      <c r="F39" s="4"/>
      <c r="G39" s="4"/>
      <c r="H39" s="4"/>
      <c r="I39" s="15"/>
      <c r="J39" s="15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</sheetData>
  <printOptions/>
  <pageMargins bottom="0.35433070866141736" footer="0.0" header="0.0" left="0.8267716535433072" right="0.03937007874015748" top="0.7480314960629921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3" width="10.63"/>
    <col customWidth="1" min="4" max="4" width="13.75"/>
    <col customWidth="1" min="5" max="8" width="10.63"/>
    <col customWidth="1" min="9" max="9" width="34.88"/>
    <col customWidth="1" min="10" max="10" width="13.25"/>
    <col customWidth="1" min="11" max="11" width="10.63"/>
    <col customWidth="1" min="12" max="12" width="19.0"/>
    <col customWidth="1" min="13" max="26" width="10.63"/>
  </cols>
  <sheetData>
    <row r="1" ht="14.25" customHeight="1">
      <c r="A1" s="22" t="s">
        <v>37</v>
      </c>
      <c r="B1" s="2" t="s">
        <v>0</v>
      </c>
      <c r="C1" s="2" t="s">
        <v>1</v>
      </c>
      <c r="D1" s="2" t="s">
        <v>38</v>
      </c>
      <c r="E1" s="2" t="s">
        <v>3</v>
      </c>
      <c r="F1" s="2" t="s">
        <v>39</v>
      </c>
      <c r="G1" s="2" t="s">
        <v>4</v>
      </c>
      <c r="H1" s="2" t="s">
        <v>40</v>
      </c>
      <c r="I1" s="2" t="s">
        <v>7</v>
      </c>
      <c r="J1" s="3" t="s">
        <v>9</v>
      </c>
      <c r="K1" s="23" t="s">
        <v>8</v>
      </c>
    </row>
    <row r="2" ht="14.25" customHeight="1">
      <c r="A2" s="24">
        <v>1.11005100012E11</v>
      </c>
      <c r="B2" s="5">
        <v>7.0</v>
      </c>
      <c r="C2" s="5" t="s">
        <v>10</v>
      </c>
      <c r="D2" s="5" t="s">
        <v>11</v>
      </c>
      <c r="E2" s="6">
        <v>44043.0</v>
      </c>
      <c r="F2" s="5"/>
      <c r="G2" s="5" t="s">
        <v>41</v>
      </c>
      <c r="H2" s="5"/>
      <c r="I2" s="25" t="s">
        <v>42</v>
      </c>
      <c r="J2" s="26">
        <v>0.0</v>
      </c>
      <c r="K2" s="26">
        <v>217.53</v>
      </c>
    </row>
    <row r="3" ht="14.25" customHeight="1">
      <c r="A3" s="24">
        <v>1.11005100012E11</v>
      </c>
      <c r="B3" s="5">
        <v>7.0</v>
      </c>
      <c r="C3" s="5" t="s">
        <v>10</v>
      </c>
      <c r="D3" s="5" t="s">
        <v>11</v>
      </c>
      <c r="E3" s="6">
        <v>44043.0</v>
      </c>
      <c r="F3" s="5"/>
      <c r="G3" s="5" t="s">
        <v>41</v>
      </c>
      <c r="H3" s="5"/>
      <c r="I3" s="25" t="s">
        <v>42</v>
      </c>
      <c r="J3" s="26">
        <v>0.0</v>
      </c>
      <c r="K3" s="26">
        <v>1057.8</v>
      </c>
    </row>
    <row r="4" ht="14.25" customHeight="1">
      <c r="A4" s="24">
        <v>1.11005100012E11</v>
      </c>
      <c r="B4" s="5">
        <v>7.0</v>
      </c>
      <c r="C4" s="5" t="s">
        <v>10</v>
      </c>
      <c r="D4" s="5" t="s">
        <v>11</v>
      </c>
      <c r="E4" s="10">
        <v>44043.0</v>
      </c>
      <c r="F4" s="5"/>
      <c r="G4" s="5" t="s">
        <v>41</v>
      </c>
      <c r="H4" s="5"/>
      <c r="I4" s="25" t="s">
        <v>42</v>
      </c>
      <c r="J4" s="26">
        <v>0.0</v>
      </c>
      <c r="K4" s="27">
        <v>1339.5</v>
      </c>
    </row>
    <row r="5" ht="14.25" customHeight="1">
      <c r="A5" s="24">
        <v>1.11005100012E11</v>
      </c>
      <c r="B5" s="5">
        <v>7.0</v>
      </c>
      <c r="C5" s="5" t="s">
        <v>10</v>
      </c>
      <c r="D5" s="5" t="s">
        <v>11</v>
      </c>
      <c r="E5" s="10">
        <v>44043.0</v>
      </c>
      <c r="F5" s="5"/>
      <c r="G5" s="5" t="s">
        <v>41</v>
      </c>
      <c r="H5" s="5"/>
      <c r="I5" s="25" t="s">
        <v>42</v>
      </c>
      <c r="J5" s="26">
        <v>0.0</v>
      </c>
      <c r="K5" s="26">
        <v>6764.0</v>
      </c>
    </row>
    <row r="6" ht="14.25" customHeight="1">
      <c r="A6" s="24">
        <v>1.11005100012E11</v>
      </c>
      <c r="B6" s="5">
        <v>7.0</v>
      </c>
      <c r="C6" s="5" t="s">
        <v>10</v>
      </c>
      <c r="D6" s="5" t="s">
        <v>11</v>
      </c>
      <c r="E6" s="10">
        <v>44043.0</v>
      </c>
      <c r="F6" s="5"/>
      <c r="G6" s="5" t="s">
        <v>41</v>
      </c>
      <c r="H6" s="5"/>
      <c r="I6" s="25" t="s">
        <v>42</v>
      </c>
      <c r="J6" s="26">
        <v>0.0</v>
      </c>
      <c r="K6" s="26">
        <v>8455.0</v>
      </c>
    </row>
    <row r="7" ht="14.25" customHeight="1">
      <c r="A7" s="24">
        <v>1.11005100012E11</v>
      </c>
      <c r="B7" s="5">
        <v>7.0</v>
      </c>
      <c r="C7" s="5" t="s">
        <v>10</v>
      </c>
      <c r="D7" s="5" t="s">
        <v>11</v>
      </c>
      <c r="E7" s="10">
        <v>44043.0</v>
      </c>
      <c r="F7" s="5"/>
      <c r="G7" s="5" t="s">
        <v>41</v>
      </c>
      <c r="H7" s="5"/>
      <c r="I7" s="25" t="s">
        <v>42</v>
      </c>
      <c r="J7" s="26">
        <v>0.0</v>
      </c>
      <c r="K7" s="26">
        <v>10716.0</v>
      </c>
    </row>
    <row r="8" ht="14.25" customHeight="1">
      <c r="A8" s="24">
        <v>1.11005100012E11</v>
      </c>
      <c r="B8" s="5">
        <v>7.0</v>
      </c>
      <c r="C8" s="5" t="s">
        <v>10</v>
      </c>
      <c r="D8" s="5" t="s">
        <v>11</v>
      </c>
      <c r="E8" s="10">
        <v>44043.0</v>
      </c>
      <c r="F8" s="5"/>
      <c r="G8" s="5" t="s">
        <v>41</v>
      </c>
      <c r="H8" s="5"/>
      <c r="I8" s="25" t="s">
        <v>42</v>
      </c>
      <c r="J8" s="26">
        <v>0.0</v>
      </c>
      <c r="K8" s="26">
        <v>14730.43</v>
      </c>
      <c r="L8" s="28">
        <f>SUM(K2:K8)</f>
        <v>43280.26</v>
      </c>
    </row>
    <row r="9" ht="14.25" customHeight="1">
      <c r="A9" s="24">
        <v>1.11005100025E11</v>
      </c>
      <c r="B9" s="5">
        <v>7.0</v>
      </c>
      <c r="C9" s="5" t="s">
        <v>10</v>
      </c>
      <c r="D9" s="5" t="s">
        <v>16</v>
      </c>
      <c r="E9" s="10">
        <v>44043.0</v>
      </c>
      <c r="F9" s="5"/>
      <c r="G9" s="5" t="s">
        <v>43</v>
      </c>
      <c r="H9" s="5"/>
      <c r="I9" s="25" t="s">
        <v>44</v>
      </c>
      <c r="J9" s="26">
        <v>280000.0</v>
      </c>
      <c r="K9" s="26">
        <v>0.0</v>
      </c>
    </row>
    <row r="10" ht="14.25" customHeight="1">
      <c r="A10" s="24">
        <v>1.11005100025E11</v>
      </c>
      <c r="B10" s="5">
        <v>7.0</v>
      </c>
      <c r="C10" s="5" t="s">
        <v>10</v>
      </c>
      <c r="D10" s="5" t="s">
        <v>16</v>
      </c>
      <c r="E10" s="10">
        <v>44043.0</v>
      </c>
      <c r="F10" s="5"/>
      <c r="G10" s="5" t="s">
        <v>43</v>
      </c>
      <c r="H10" s="5"/>
      <c r="I10" s="25" t="s">
        <v>44</v>
      </c>
      <c r="J10" s="26">
        <v>640056.0</v>
      </c>
      <c r="K10" s="26">
        <v>0.0</v>
      </c>
    </row>
    <row r="11" ht="14.25" customHeight="1">
      <c r="A11" s="24">
        <v>1.11005100025E11</v>
      </c>
      <c r="B11" s="5">
        <v>7.0</v>
      </c>
      <c r="C11" s="5" t="s">
        <v>10</v>
      </c>
      <c r="D11" s="5" t="s">
        <v>16</v>
      </c>
      <c r="E11" s="10">
        <v>44043.0</v>
      </c>
      <c r="F11" s="5"/>
      <c r="G11" s="5" t="s">
        <v>20</v>
      </c>
      <c r="H11" s="5"/>
      <c r="I11" s="25" t="s">
        <v>44</v>
      </c>
      <c r="J11" s="26">
        <v>1500000.0</v>
      </c>
      <c r="K11" s="26">
        <v>0.0</v>
      </c>
    </row>
    <row r="12" ht="14.25" customHeight="1">
      <c r="A12" s="24">
        <v>1.11005100025E11</v>
      </c>
      <c r="B12" s="5">
        <v>7.0</v>
      </c>
      <c r="C12" s="5" t="s">
        <v>10</v>
      </c>
      <c r="D12" s="5" t="s">
        <v>16</v>
      </c>
      <c r="E12" s="10">
        <v>44043.0</v>
      </c>
      <c r="F12" s="5"/>
      <c r="G12" s="5" t="s">
        <v>43</v>
      </c>
      <c r="H12" s="5"/>
      <c r="I12" s="25" t="s">
        <v>44</v>
      </c>
      <c r="J12" s="26">
        <v>2000000.0</v>
      </c>
      <c r="K12" s="26">
        <v>0.0</v>
      </c>
    </row>
    <row r="13" ht="14.25" customHeight="1">
      <c r="A13" s="24">
        <v>1.11005100025E11</v>
      </c>
      <c r="B13" s="5">
        <v>7.0</v>
      </c>
      <c r="C13" s="5" t="s">
        <v>10</v>
      </c>
      <c r="D13" s="5" t="s">
        <v>16</v>
      </c>
      <c r="E13" s="10">
        <v>44043.0</v>
      </c>
      <c r="F13" s="5"/>
      <c r="G13" s="5" t="s">
        <v>45</v>
      </c>
      <c r="H13" s="5"/>
      <c r="I13" s="25" t="s">
        <v>44</v>
      </c>
      <c r="J13" s="26">
        <v>2623865.0</v>
      </c>
      <c r="K13" s="26">
        <v>0.0</v>
      </c>
    </row>
    <row r="14" ht="14.25" customHeight="1">
      <c r="A14" s="24">
        <v>1.11005100025E11</v>
      </c>
      <c r="B14" s="5">
        <v>7.0</v>
      </c>
      <c r="C14" s="5" t="s">
        <v>10</v>
      </c>
      <c r="D14" s="5" t="s">
        <v>16</v>
      </c>
      <c r="E14" s="10">
        <v>44043.0</v>
      </c>
      <c r="F14" s="5"/>
      <c r="G14" s="5" t="s">
        <v>23</v>
      </c>
      <c r="H14" s="5"/>
      <c r="I14" s="25" t="s">
        <v>44</v>
      </c>
      <c r="J14" s="26">
        <v>2785000.0</v>
      </c>
      <c r="K14" s="26">
        <v>0.0</v>
      </c>
    </row>
    <row r="15" ht="14.25" customHeight="1">
      <c r="A15" s="24">
        <v>1.11005100025E11</v>
      </c>
      <c r="B15" s="5">
        <v>7.0</v>
      </c>
      <c r="C15" s="5" t="s">
        <v>10</v>
      </c>
      <c r="D15" s="5" t="s">
        <v>16</v>
      </c>
      <c r="E15" s="10">
        <v>44043.0</v>
      </c>
      <c r="F15" s="5"/>
      <c r="G15" s="5" t="s">
        <v>24</v>
      </c>
      <c r="H15" s="5"/>
      <c r="I15" s="25" t="s">
        <v>44</v>
      </c>
      <c r="J15" s="26">
        <v>5500000.0</v>
      </c>
      <c r="K15" s="26">
        <v>0.0</v>
      </c>
    </row>
    <row r="16" ht="14.25" customHeight="1">
      <c r="A16" s="24">
        <v>1.11005100025E11</v>
      </c>
      <c r="B16" s="5">
        <v>7.0</v>
      </c>
      <c r="C16" s="5" t="s">
        <v>10</v>
      </c>
      <c r="D16" s="5" t="s">
        <v>16</v>
      </c>
      <c r="E16" s="10">
        <v>44043.0</v>
      </c>
      <c r="F16" s="5"/>
      <c r="G16" s="5" t="s">
        <v>25</v>
      </c>
      <c r="H16" s="5"/>
      <c r="I16" s="25" t="s">
        <v>44</v>
      </c>
      <c r="J16" s="26">
        <v>5600000.0</v>
      </c>
      <c r="K16" s="26">
        <v>0.0</v>
      </c>
    </row>
    <row r="17" ht="14.25" customHeight="1">
      <c r="A17" s="24">
        <v>1.11005100025E11</v>
      </c>
      <c r="B17" s="5">
        <v>7.0</v>
      </c>
      <c r="C17" s="5" t="s">
        <v>10</v>
      </c>
      <c r="D17" s="5" t="s">
        <v>16</v>
      </c>
      <c r="E17" s="10">
        <v>44043.0</v>
      </c>
      <c r="F17" s="5"/>
      <c r="G17" s="5" t="s">
        <v>43</v>
      </c>
      <c r="H17" s="5"/>
      <c r="I17" s="25" t="s">
        <v>44</v>
      </c>
      <c r="J17" s="26">
        <v>9000000.0</v>
      </c>
      <c r="K17" s="26">
        <v>0.0</v>
      </c>
    </row>
    <row r="18" ht="14.25" customHeight="1">
      <c r="A18" s="24">
        <v>1.11005100025E11</v>
      </c>
      <c r="B18" s="5">
        <v>7.0</v>
      </c>
      <c r="C18" s="5" t="s">
        <v>10</v>
      </c>
      <c r="D18" s="5" t="s">
        <v>16</v>
      </c>
      <c r="E18" s="10">
        <v>44043.0</v>
      </c>
      <c r="F18" s="5"/>
      <c r="G18" s="5" t="s">
        <v>43</v>
      </c>
      <c r="H18" s="5"/>
      <c r="I18" s="25" t="s">
        <v>44</v>
      </c>
      <c r="J18" s="26">
        <v>1.3820806E7</v>
      </c>
      <c r="K18" s="26">
        <v>0.0</v>
      </c>
    </row>
    <row r="19" ht="14.25" customHeight="1">
      <c r="A19" s="24">
        <v>1.11005100025E11</v>
      </c>
      <c r="B19" s="5">
        <v>7.0</v>
      </c>
      <c r="C19" s="5" t="s">
        <v>10</v>
      </c>
      <c r="D19" s="5" t="s">
        <v>16</v>
      </c>
      <c r="E19" s="10">
        <v>44043.0</v>
      </c>
      <c r="F19" s="5"/>
      <c r="G19" s="5" t="s">
        <v>28</v>
      </c>
      <c r="H19" s="5"/>
      <c r="I19" s="25" t="s">
        <v>44</v>
      </c>
      <c r="J19" s="26">
        <v>2.0E7</v>
      </c>
      <c r="K19" s="26">
        <v>0.0</v>
      </c>
    </row>
    <row r="20" ht="14.25" customHeight="1">
      <c r="A20" s="24">
        <v>1.11005100025E11</v>
      </c>
      <c r="B20" s="5">
        <v>7.0</v>
      </c>
      <c r="C20" s="5" t="s">
        <v>10</v>
      </c>
      <c r="D20" s="5" t="s">
        <v>16</v>
      </c>
      <c r="E20" s="10">
        <v>44042.0</v>
      </c>
      <c r="F20" s="5"/>
      <c r="G20" s="5" t="s">
        <v>41</v>
      </c>
      <c r="H20" s="5"/>
      <c r="I20" s="25" t="s">
        <v>44</v>
      </c>
      <c r="J20" s="26">
        <v>2.2177133E7</v>
      </c>
      <c r="K20" s="26">
        <v>0.0</v>
      </c>
    </row>
    <row r="21" ht="14.25" customHeight="1">
      <c r="A21" s="24">
        <v>1.11005100025E11</v>
      </c>
      <c r="B21" s="5">
        <v>7.0</v>
      </c>
      <c r="C21" s="5" t="s">
        <v>10</v>
      </c>
      <c r="D21" s="5" t="s">
        <v>16</v>
      </c>
      <c r="E21" s="10">
        <v>44043.0</v>
      </c>
      <c r="F21" s="5"/>
      <c r="G21" s="5" t="s">
        <v>29</v>
      </c>
      <c r="H21" s="5"/>
      <c r="I21" s="25" t="s">
        <v>44</v>
      </c>
      <c r="J21" s="26">
        <v>2.2177133E7</v>
      </c>
      <c r="K21" s="26">
        <v>0.0</v>
      </c>
    </row>
    <row r="22" ht="14.25" customHeight="1">
      <c r="A22" s="24">
        <v>1.11005100025E11</v>
      </c>
      <c r="B22" s="5">
        <v>7.0</v>
      </c>
      <c r="C22" s="5" t="s">
        <v>10</v>
      </c>
      <c r="D22" s="5" t="s">
        <v>16</v>
      </c>
      <c r="E22" s="10">
        <v>44043.0</v>
      </c>
      <c r="F22" s="5"/>
      <c r="G22" s="5" t="s">
        <v>41</v>
      </c>
      <c r="H22" s="5"/>
      <c r="I22" s="25" t="s">
        <v>44</v>
      </c>
      <c r="J22" s="26">
        <v>5.9883292E7</v>
      </c>
      <c r="K22" s="26">
        <v>0.0</v>
      </c>
    </row>
    <row r="23" ht="14.25" customHeight="1">
      <c r="A23" s="24">
        <v>1.11005100025E11</v>
      </c>
      <c r="B23" s="5">
        <v>7.0</v>
      </c>
      <c r="C23" s="5" t="s">
        <v>10</v>
      </c>
      <c r="D23" s="5" t="s">
        <v>16</v>
      </c>
      <c r="E23" s="10">
        <v>44043.0</v>
      </c>
      <c r="F23" s="5"/>
      <c r="G23" s="5" t="s">
        <v>46</v>
      </c>
      <c r="H23" s="5"/>
      <c r="I23" s="25" t="s">
        <v>44</v>
      </c>
      <c r="J23" s="26">
        <v>2.6E8</v>
      </c>
      <c r="K23" s="26">
        <v>0.0</v>
      </c>
      <c r="L23" s="28">
        <f>SUM(J9:J23)</f>
        <v>427987285</v>
      </c>
    </row>
    <row r="24" ht="14.25" customHeight="1">
      <c r="A24" s="24">
        <v>1.11005100025E11</v>
      </c>
      <c r="B24" s="5">
        <v>7.0</v>
      </c>
      <c r="C24" s="5" t="s">
        <v>10</v>
      </c>
      <c r="D24" s="5" t="s">
        <v>16</v>
      </c>
      <c r="E24" s="10">
        <v>44042.0</v>
      </c>
      <c r="F24" s="5"/>
      <c r="G24" s="5" t="s">
        <v>41</v>
      </c>
      <c r="H24" s="5"/>
      <c r="I24" s="29" t="s">
        <v>47</v>
      </c>
      <c r="J24" s="26">
        <v>0.0</v>
      </c>
      <c r="K24" s="26">
        <v>50.93</v>
      </c>
    </row>
    <row r="25" ht="14.25" customHeight="1">
      <c r="A25" s="24">
        <v>1.11005100025E11</v>
      </c>
      <c r="B25" s="5">
        <v>7.0</v>
      </c>
      <c r="C25" s="5" t="s">
        <v>10</v>
      </c>
      <c r="D25" s="5" t="s">
        <v>16</v>
      </c>
      <c r="E25" s="10">
        <v>44043.0</v>
      </c>
      <c r="F25" s="5"/>
      <c r="G25" s="5" t="s">
        <v>41</v>
      </c>
      <c r="H25" s="5"/>
      <c r="I25" s="29" t="s">
        <v>47</v>
      </c>
      <c r="J25" s="26">
        <v>0.0</v>
      </c>
      <c r="K25" s="26">
        <v>118.76</v>
      </c>
    </row>
    <row r="26" ht="14.25" customHeight="1">
      <c r="A26" s="24">
        <v>1.11005100025E11</v>
      </c>
      <c r="B26" s="5">
        <v>7.0</v>
      </c>
      <c r="C26" s="5" t="s">
        <v>10</v>
      </c>
      <c r="D26" s="5" t="s">
        <v>16</v>
      </c>
      <c r="E26" s="10">
        <v>44043.0</v>
      </c>
      <c r="F26" s="5"/>
      <c r="G26" s="5" t="s">
        <v>41</v>
      </c>
      <c r="H26" s="5"/>
      <c r="I26" s="25" t="s">
        <v>42</v>
      </c>
      <c r="J26" s="26">
        <v>0.0</v>
      </c>
      <c r="K26" s="14">
        <v>845.5</v>
      </c>
    </row>
    <row r="27" ht="14.25" customHeight="1">
      <c r="A27" s="24">
        <v>1.11005100025E11</v>
      </c>
      <c r="B27" s="5">
        <v>7.0</v>
      </c>
      <c r="C27" s="5" t="s">
        <v>10</v>
      </c>
      <c r="D27" s="5" t="s">
        <v>16</v>
      </c>
      <c r="E27" s="10">
        <v>44043.0</v>
      </c>
      <c r="F27" s="5"/>
      <c r="G27" s="5" t="s">
        <v>41</v>
      </c>
      <c r="H27" s="5"/>
      <c r="I27" s="25" t="s">
        <v>42</v>
      </c>
      <c r="J27" s="26">
        <v>0.0</v>
      </c>
      <c r="K27" s="26">
        <v>845.5</v>
      </c>
    </row>
    <row r="28" ht="14.25" customHeight="1">
      <c r="A28" s="24">
        <v>1.11005100025E11</v>
      </c>
      <c r="B28" s="5">
        <v>7.0</v>
      </c>
      <c r="C28" s="5" t="s">
        <v>10</v>
      </c>
      <c r="D28" s="5" t="s">
        <v>16</v>
      </c>
      <c r="E28" s="10">
        <v>44042.0</v>
      </c>
      <c r="F28" s="5"/>
      <c r="G28" s="5" t="s">
        <v>41</v>
      </c>
      <c r="H28" s="5"/>
      <c r="I28" s="25" t="s">
        <v>42</v>
      </c>
      <c r="J28" s="26">
        <v>0.0</v>
      </c>
      <c r="K28" s="26">
        <v>2033.0</v>
      </c>
    </row>
    <row r="29" ht="14.25" customHeight="1">
      <c r="A29" s="24">
        <v>1.11005100025E11</v>
      </c>
      <c r="B29" s="5">
        <v>7.0</v>
      </c>
      <c r="C29" s="5" t="s">
        <v>10</v>
      </c>
      <c r="D29" s="5" t="s">
        <v>16</v>
      </c>
      <c r="E29" s="10">
        <v>44043.0</v>
      </c>
      <c r="F29" s="5"/>
      <c r="G29" s="5" t="s">
        <v>41</v>
      </c>
      <c r="H29" s="5"/>
      <c r="I29" s="25" t="s">
        <v>42</v>
      </c>
      <c r="J29" s="26">
        <v>0.0</v>
      </c>
      <c r="K29" s="26">
        <v>3049.5</v>
      </c>
    </row>
    <row r="30" ht="14.25" customHeight="1">
      <c r="A30" s="24">
        <v>1.11005100025E11</v>
      </c>
      <c r="B30" s="5">
        <v>7.0</v>
      </c>
      <c r="C30" s="5" t="s">
        <v>10</v>
      </c>
      <c r="D30" s="5" t="s">
        <v>16</v>
      </c>
      <c r="E30" s="10">
        <v>44043.0</v>
      </c>
      <c r="F30" s="5"/>
      <c r="G30" s="5" t="s">
        <v>41</v>
      </c>
      <c r="H30" s="5"/>
      <c r="I30" s="29" t="s">
        <v>48</v>
      </c>
      <c r="J30" s="26">
        <v>0.0</v>
      </c>
      <c r="K30" s="26">
        <v>4450.0</v>
      </c>
    </row>
    <row r="31" ht="14.25" customHeight="1">
      <c r="A31" s="24">
        <v>1.11005100025E11</v>
      </c>
      <c r="B31" s="5">
        <v>7.0</v>
      </c>
      <c r="C31" s="5" t="s">
        <v>10</v>
      </c>
      <c r="D31" s="5" t="s">
        <v>16</v>
      </c>
      <c r="E31" s="10">
        <v>44043.0</v>
      </c>
      <c r="F31" s="5"/>
      <c r="G31" s="5" t="s">
        <v>41</v>
      </c>
      <c r="H31" s="5"/>
      <c r="I31" s="29" t="s">
        <v>48</v>
      </c>
      <c r="J31" s="26">
        <v>0.0</v>
      </c>
      <c r="K31" s="26">
        <v>4450.0</v>
      </c>
    </row>
    <row r="32" ht="14.25" customHeight="1">
      <c r="A32" s="24">
        <v>1.11005100025E11</v>
      </c>
      <c r="B32" s="5">
        <v>7.0</v>
      </c>
      <c r="C32" s="5" t="s">
        <v>10</v>
      </c>
      <c r="D32" s="5" t="s">
        <v>16</v>
      </c>
      <c r="E32" s="10">
        <v>44042.0</v>
      </c>
      <c r="F32" s="5"/>
      <c r="G32" s="5" t="s">
        <v>41</v>
      </c>
      <c r="H32" s="5"/>
      <c r="I32" s="29" t="s">
        <v>48</v>
      </c>
      <c r="J32" s="26">
        <v>0.0</v>
      </c>
      <c r="K32" s="26">
        <v>10700.0</v>
      </c>
    </row>
    <row r="33" ht="14.25" customHeight="1">
      <c r="A33" s="24">
        <v>1.11005100025E11</v>
      </c>
      <c r="B33" s="5">
        <v>7.0</v>
      </c>
      <c r="C33" s="5" t="s">
        <v>10</v>
      </c>
      <c r="D33" s="5" t="s">
        <v>16</v>
      </c>
      <c r="E33" s="10">
        <v>44043.0</v>
      </c>
      <c r="F33" s="5"/>
      <c r="G33" s="5" t="s">
        <v>41</v>
      </c>
      <c r="H33" s="5"/>
      <c r="I33" s="29" t="s">
        <v>48</v>
      </c>
      <c r="J33" s="26">
        <v>0.0</v>
      </c>
      <c r="K33" s="26">
        <v>16050.0</v>
      </c>
      <c r="L33" s="28">
        <f>SUM(K24:K33)</f>
        <v>42593.19</v>
      </c>
    </row>
    <row r="34" ht="14.25" customHeight="1">
      <c r="A34" s="30">
        <v>1.11005100003E11</v>
      </c>
      <c r="B34" s="17">
        <v>23.0</v>
      </c>
      <c r="C34" s="17" t="s">
        <v>10</v>
      </c>
      <c r="D34" s="17">
        <v>2.42057271E8</v>
      </c>
      <c r="E34" s="31">
        <v>44043.0</v>
      </c>
      <c r="F34" s="17"/>
      <c r="G34" s="32"/>
      <c r="H34" s="32"/>
      <c r="I34" s="33" t="s">
        <v>35</v>
      </c>
      <c r="J34" s="26">
        <v>0.0</v>
      </c>
      <c r="K34" s="26">
        <v>0.0</v>
      </c>
    </row>
    <row r="35" ht="14.25" customHeight="1">
      <c r="A35" s="34">
        <v>1.11005100024E11</v>
      </c>
      <c r="B35" s="17">
        <v>23.0</v>
      </c>
      <c r="C35" s="17" t="s">
        <v>10</v>
      </c>
      <c r="D35" s="17">
        <v>2.6505663E8</v>
      </c>
      <c r="E35" s="31">
        <v>44043.0</v>
      </c>
      <c r="F35" s="17"/>
      <c r="G35" s="32"/>
      <c r="H35" s="32"/>
      <c r="I35" s="33" t="s">
        <v>35</v>
      </c>
      <c r="J35" s="26">
        <v>0.0</v>
      </c>
      <c r="K35" s="26">
        <v>0.0</v>
      </c>
    </row>
    <row r="36" ht="14.25" customHeight="1">
      <c r="A36" s="30"/>
      <c r="B36" s="17"/>
      <c r="C36" s="17"/>
      <c r="D36" s="17"/>
      <c r="E36" s="10"/>
      <c r="F36" s="17"/>
      <c r="G36" s="32"/>
      <c r="H36" s="32"/>
      <c r="I36" s="33"/>
      <c r="J36" s="26"/>
      <c r="K36" s="26"/>
    </row>
    <row r="37" ht="14.25" customHeight="1">
      <c r="A37" s="35" t="s">
        <v>36</v>
      </c>
      <c r="B37" s="36"/>
      <c r="C37" s="36"/>
      <c r="D37" s="36"/>
      <c r="E37" s="36"/>
      <c r="F37" s="36"/>
      <c r="G37" s="36"/>
      <c r="H37" s="36"/>
      <c r="I37" s="37"/>
      <c r="J37" s="38">
        <f t="shared" ref="J37:K37" si="1">SUM(J2:J36)</f>
        <v>427987285</v>
      </c>
      <c r="K37" s="38">
        <f t="shared" si="1"/>
        <v>85873.45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2010-06-24T23:16:47Z</dcterms:created>
  <dc:creator>PcHogar</dc:creator>
</cp:coreProperties>
</file>