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Home\Documents\"/>
    </mc:Choice>
  </mc:AlternateContent>
  <xr:revisionPtr revIDLastSave="0" documentId="13_ncr:1_{1AFD48C8-FEBC-44B9-8C10-B55973EF32D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ENDIENTES EXTRACTO" sheetId="1" r:id="rId1"/>
    <sheet name="PENDIENTES LIBROS" sheetId="2" r:id="rId2"/>
    <sheet name="CUADRE INICIAL" sheetId="3" r:id="rId3"/>
  </sheets>
  <definedNames>
    <definedName name="_xlnm._FilterDatabase" localSheetId="0" hidden="1">'PENDIENTES EXTRACTO'!$A$2:$J$39</definedName>
    <definedName name="_xlnm._FilterDatabase" localSheetId="1" hidden="1">'PENDIENTES LIBROS'!$A$2:$K$2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kV7DkLMkWC/vGNM7MyyfrhknC4CBahRoFhiuYA4scM="/>
    </ext>
  </extLst>
</workbook>
</file>

<file path=xl/calcChain.xml><?xml version="1.0" encoding="utf-8"?>
<calcChain xmlns="http://schemas.openxmlformats.org/spreadsheetml/2006/main">
  <c r="J32" i="3" l="1"/>
  <c r="D35" i="3"/>
  <c r="E35" i="3"/>
  <c r="F35" i="3"/>
  <c r="C35" i="3"/>
  <c r="D25" i="3"/>
  <c r="E25" i="3"/>
  <c r="F25" i="3"/>
  <c r="D24" i="3"/>
  <c r="E24" i="3"/>
  <c r="F24" i="3"/>
  <c r="C25" i="3"/>
  <c r="C24" i="3"/>
  <c r="E19" i="3"/>
  <c r="F19" i="3"/>
  <c r="E18" i="3"/>
  <c r="F18" i="3"/>
  <c r="D19" i="3"/>
  <c r="D20" i="3" s="1"/>
  <c r="D22" i="3" s="1"/>
  <c r="D18" i="3"/>
  <c r="D26" i="3"/>
  <c r="D28" i="3" s="1"/>
  <c r="E26" i="3"/>
  <c r="E28" i="3" s="1"/>
  <c r="F26" i="3"/>
  <c r="F28" i="3" s="1"/>
  <c r="C22" i="3"/>
  <c r="E20" i="3"/>
  <c r="E22" i="3" s="1"/>
  <c r="F20" i="3"/>
  <c r="F22" i="3" s="1"/>
  <c r="C20" i="3"/>
  <c r="C19" i="3"/>
  <c r="C18" i="3"/>
  <c r="D46" i="3"/>
  <c r="E46" i="3"/>
  <c r="F46" i="3"/>
  <c r="C46" i="3"/>
  <c r="F38" i="3"/>
  <c r="F37" i="3"/>
  <c r="E38" i="3"/>
  <c r="E37" i="3"/>
  <c r="D40" i="3"/>
  <c r="D42" i="3" s="1"/>
  <c r="C37" i="3"/>
  <c r="C40" i="3" s="1"/>
  <c r="C42" i="3" s="1"/>
  <c r="F54" i="1"/>
  <c r="E54" i="1"/>
  <c r="F45" i="1"/>
  <c r="E45" i="1"/>
  <c r="F8" i="3"/>
  <c r="E8" i="3"/>
  <c r="D8" i="3"/>
  <c r="C8" i="3"/>
  <c r="F7" i="3"/>
  <c r="E7" i="3"/>
  <c r="D7" i="3"/>
  <c r="C7" i="3"/>
  <c r="F6" i="3"/>
  <c r="E6" i="3"/>
  <c r="D6" i="3"/>
  <c r="C6" i="3"/>
  <c r="F5" i="3"/>
  <c r="F9" i="3" s="1"/>
  <c r="F11" i="3" s="1"/>
  <c r="E5" i="3"/>
  <c r="D5" i="3"/>
  <c r="K38" i="2"/>
  <c r="J38" i="2"/>
  <c r="J39" i="1"/>
  <c r="I37" i="1"/>
  <c r="I39" i="1" s="1"/>
  <c r="C26" i="3" l="1"/>
  <c r="C28" i="3" s="1"/>
  <c r="D9" i="3"/>
  <c r="D11" i="3" s="1"/>
  <c r="E9" i="3"/>
  <c r="E11" i="3" s="1"/>
  <c r="E45" i="3"/>
  <c r="F45" i="3"/>
  <c r="D45" i="3"/>
  <c r="C45" i="3"/>
  <c r="C9" i="3"/>
  <c r="C11" i="3" s="1"/>
  <c r="E40" i="3"/>
  <c r="E42" i="3" s="1"/>
  <c r="F40" i="3"/>
  <c r="F42" i="3" s="1"/>
</calcChain>
</file>

<file path=xl/sharedStrings.xml><?xml version="1.0" encoding="utf-8"?>
<sst xmlns="http://schemas.openxmlformats.org/spreadsheetml/2006/main" count="3065" uniqueCount="263">
  <si>
    <t>INFORMACION INICIAL CARGUE BANCOS</t>
  </si>
  <si>
    <t>CODIGO BANCO</t>
  </si>
  <si>
    <t>TIPO DE CUENTA</t>
  </si>
  <si>
    <t>NUMERO DE CUENTA</t>
  </si>
  <si>
    <t>FECHA DE MOVIMIENTO</t>
  </si>
  <si>
    <t>REFERENCIA 1</t>
  </si>
  <si>
    <t>REFERENCIA 2</t>
  </si>
  <si>
    <t>REFERENCIA 3</t>
  </si>
  <si>
    <t>DESCRIPCION</t>
  </si>
  <si>
    <t>VALOR CREDITO</t>
  </si>
  <si>
    <t>VALOR DEBITO</t>
  </si>
  <si>
    <t>cta cte</t>
  </si>
  <si>
    <t>039-137051-24</t>
  </si>
  <si>
    <t>IVA COMISION RECAUDOS CAJEROS</t>
  </si>
  <si>
    <t>4XMIL GRAVAMEN MVTO FINANCIERO</t>
  </si>
  <si>
    <t>IVA POR SERVICIO DE RECAUDO</t>
  </si>
  <si>
    <t>IVA COMISION RECAUDOS CAJA</t>
  </si>
  <si>
    <t>IVA COMISION RECAUDOS CB</t>
  </si>
  <si>
    <t>9175015594901827</t>
  </si>
  <si>
    <t>PAGO PROGRAMADO MOVISTAR FIJO</t>
  </si>
  <si>
    <t>039-356629-46</t>
  </si>
  <si>
    <t>3201344815</t>
  </si>
  <si>
    <t>TRANSFERENCIA CTA SUC VIRTUAL</t>
  </si>
  <si>
    <t>TESSI GESTIONA S</t>
  </si>
  <si>
    <t>PAGO DE PROV TESSI GESTIONA S</t>
  </si>
  <si>
    <t>79367842</t>
  </si>
  <si>
    <t>CONSIG LOCAL REFEREN EFECTIVO</t>
  </si>
  <si>
    <t>8300531806</t>
  </si>
  <si>
    <t>36169786</t>
  </si>
  <si>
    <t>CONSIG NAL REFERENCIA EFECTIVO</t>
  </si>
  <si>
    <t>20795788170</t>
  </si>
  <si>
    <t>3065621621</t>
  </si>
  <si>
    <t>51586102</t>
  </si>
  <si>
    <t>PAGO INTERBANC SANCHEZ MORENO</t>
  </si>
  <si>
    <t>ALFONSO URIBE S</t>
  </si>
  <si>
    <t>PAGO DE PROV ALFONSO URIBE S</t>
  </si>
  <si>
    <t>41557894</t>
  </si>
  <si>
    <t>860007327105</t>
  </si>
  <si>
    <t>CONSIG LOCAL REFERENCIA CANJE</t>
  </si>
  <si>
    <t>TRASL ENTRE FONDOS DE VALORES</t>
  </si>
  <si>
    <t>COMISION CAJA CODIGO DE BARRAS</t>
  </si>
  <si>
    <t>COMISION RECAUDOS CAJA LOCAL</t>
  </si>
  <si>
    <t>DEV CONSIGN NAL CAUSAL 18</t>
  </si>
  <si>
    <t xml:space="preserve"> CARGO POR OTROS CONCEPTOS SIN GMF</t>
  </si>
  <si>
    <t>SIN MOVIMIENTO</t>
  </si>
  <si>
    <t xml:space="preserve"> </t>
  </si>
  <si>
    <t>TOTALES</t>
  </si>
  <si>
    <t>INFORMACION INICIAL CARGUE AUXILIAR CONTABLE</t>
  </si>
  <si>
    <t>NUMERO DE CUENTA CONTABLE</t>
  </si>
  <si>
    <t>NUMERO DE CUENTA BANCARIA</t>
  </si>
  <si>
    <t>COMPROBANTE CONTABLE</t>
  </si>
  <si>
    <t>TERCERO</t>
  </si>
  <si>
    <t>890903938</t>
  </si>
  <si>
    <t>"FNCLUZMAT"-IVA COMISION RECAUDOS CAJEROS-BANCOLOMBIA</t>
  </si>
  <si>
    <t>"FNCLUZMAT"-4XMIL GRAVAMEN MVTO FINANCIERO-BANCOLOMBIA</t>
  </si>
  <si>
    <t>"FNCLUZMAT"-IVA POR SERVICIO DE RECAUDO-BANCOLOMBIA</t>
  </si>
  <si>
    <t>"FNCLUZMAT"-IVA COMISION RECAUDOS CAJA-BANCOLOMBIA</t>
  </si>
  <si>
    <t>"FNCLUZMAT"-IVA COMISION RECAUDOS CB-BANCOLOMBIA</t>
  </si>
  <si>
    <t>1</t>
  </si>
  <si>
    <t>Bancos ASOBANCARIA-Identificacion No Exste</t>
  </si>
  <si>
    <t>Bancos ASOBANCARIA-ROJAS QUIMBAYA JORGE HERNAN</t>
  </si>
  <si>
    <t>830053180</t>
  </si>
  <si>
    <t>Bancos ASOBANCARIA-CONSERVAS DELCASINO S.A</t>
  </si>
  <si>
    <t>Bancos ASOBANCARIA-PEÑA TORRES LUZ MARINA</t>
  </si>
  <si>
    <t>Bancos ASOBANCARIA-ALT DE CASTAÑO INGRID PATRICIA</t>
  </si>
  <si>
    <t>Cheques Consignados-BANCOLOMBIA</t>
  </si>
  <si>
    <t>2881953</t>
  </si>
  <si>
    <t>Bancos ASOBANCARIA-MUÑOZ ALFREDO</t>
  </si>
  <si>
    <t>4XMIL GRAVAMEN MVTO FINANCIERO-BANCOLOMBIA</t>
  </si>
  <si>
    <t>IVA COMISION RECAUDOS CAJA-BANCOLOMBIA</t>
  </si>
  <si>
    <t>COMISION CAJA CODIGO DE BARRAS-BANCOLOMBIA</t>
  </si>
  <si>
    <t>COMISION RECAUDOS CAJA LOCAL-BANCOLOMBIA</t>
  </si>
  <si>
    <t>COLOMBIA</t>
  </si>
  <si>
    <t>OCCIDENTE</t>
  </si>
  <si>
    <t>CUADRE A JULIO 30 DE 2.020</t>
  </si>
  <si>
    <t>TIPO DE CARGUE</t>
  </si>
  <si>
    <t>SALDO BANCOS</t>
  </si>
  <si>
    <t>MANUAL</t>
  </si>
  <si>
    <t>DEBITO LIBROS</t>
  </si>
  <si>
    <t>PLANTILLA</t>
  </si>
  <si>
    <t>CREDITO BANCOS</t>
  </si>
  <si>
    <t>DEBITO BANCO</t>
  </si>
  <si>
    <t>CREDITO LIBROS</t>
  </si>
  <si>
    <t>TOTAL</t>
  </si>
  <si>
    <t>FORMULA</t>
  </si>
  <si>
    <t>SALDO LIBROS</t>
  </si>
  <si>
    <t>DIFERENCIA</t>
  </si>
  <si>
    <t>DEBE SER CERO</t>
  </si>
  <si>
    <t>Fecha Movimiento</t>
  </si>
  <si>
    <t>Código Transacción</t>
  </si>
  <si>
    <t>Descripccion</t>
  </si>
  <si>
    <t>Documento</t>
  </si>
  <si>
    <t>Débitos</t>
  </si>
  <si>
    <t>Créditos</t>
  </si>
  <si>
    <t>Referencia1</t>
  </si>
  <si>
    <t>Referencia2</t>
  </si>
  <si>
    <t>Valor Efectivo</t>
  </si>
  <si>
    <t>Valor Cheque</t>
  </si>
  <si>
    <t>IVA</t>
  </si>
  <si>
    <t>-</t>
  </si>
  <si>
    <t>$0,00</t>
  </si>
  <si>
    <t>CODIGO DE BARRAS</t>
  </si>
  <si>
    <t>A738471</t>
  </si>
  <si>
    <t>COMISION CODIGO DE BARRAS</t>
  </si>
  <si>
    <t>occidente 6630</t>
  </si>
  <si>
    <t>Nombre Transacción</t>
  </si>
  <si>
    <t>2020/08/03</t>
  </si>
  <si>
    <t>2903</t>
  </si>
  <si>
    <t>GMF</t>
  </si>
  <si>
    <t>0000000</t>
  </si>
  <si>
    <t>6503</t>
  </si>
  <si>
    <t>CUOTA DE MANEJO RED PUBLICA INTERNET</t>
  </si>
  <si>
    <t>A219729</t>
  </si>
  <si>
    <t>5503</t>
  </si>
  <si>
    <t>IVA COBRADO</t>
  </si>
  <si>
    <t>A219760</t>
  </si>
  <si>
    <t>1105</t>
  </si>
  <si>
    <t>RECAUDO/PAGO SERVICIOS ELECT</t>
  </si>
  <si>
    <t>A643388</t>
  </si>
  <si>
    <t>2020/08/04</t>
  </si>
  <si>
    <t>A878193</t>
  </si>
  <si>
    <t>9205</t>
  </si>
  <si>
    <t>PAGO TERCERO RECIBIDO DESDE ACH</t>
  </si>
  <si>
    <t>A875192</t>
  </si>
  <si>
    <t>occidente 7271</t>
  </si>
  <si>
    <t>BOGOTA</t>
  </si>
  <si>
    <t>DEV CHEQUE CONSIG CAUSAL 14</t>
  </si>
  <si>
    <t>CARRERA OCTAVA</t>
  </si>
  <si>
    <t>ECOPETROL</t>
  </si>
  <si>
    <t>COMIS RECAUDOS CAJA NACIONAL</t>
  </si>
  <si>
    <t>TRANSFERENCIA DESDE NEQUI</t>
  </si>
  <si>
    <t>JORGE ROJAS 3035</t>
  </si>
  <si>
    <t>PALMIRA</t>
  </si>
  <si>
    <t>CONSIG NAL REFERENCIA CHEQUE</t>
  </si>
  <si>
    <t>WORLD TRADE CENTER</t>
  </si>
  <si>
    <t>NORTH POINT</t>
  </si>
  <si>
    <t>PAGO DE PROV AMERICAS BUSINES</t>
  </si>
  <si>
    <t>AMERICAS BUSINES</t>
  </si>
  <si>
    <t>PAGO INTERBANC Laboratorios Ry</t>
  </si>
  <si>
    <t>LA GRAN ESTACION</t>
  </si>
  <si>
    <t>EXITO NORTE</t>
  </si>
  <si>
    <t>8.6E+11</t>
  </si>
  <si>
    <t>CENTRO COMERCIAL FON</t>
  </si>
  <si>
    <t>CIUDAD</t>
  </si>
  <si>
    <t>CODIGO DE TRANSACCION</t>
  </si>
  <si>
    <t>DESCRIPCCION</t>
  </si>
  <si>
    <t>FECHA MOVIMIENTO</t>
  </si>
  <si>
    <t>NOMBRE OFICINA</t>
  </si>
  <si>
    <t>CODIGO OFICINA</t>
  </si>
  <si>
    <t>REF 1</t>
  </si>
  <si>
    <t>colombia 2946</t>
  </si>
  <si>
    <t>MOVIMIENTO 1 AL 4 agosto</t>
  </si>
  <si>
    <t>PAGO DEBITO AUTO. BANCOLOMBI</t>
  </si>
  <si>
    <t>DEBITO AUTO.BANCOLOMBIA LRYU</t>
  </si>
  <si>
    <t>COMISION CB CODIGO DE BARRAS</t>
  </si>
  <si>
    <t>COMIS SERVICIOS DE RECAUDO</t>
  </si>
  <si>
    <t>COMISION CAJEROS COD DE BARRA</t>
  </si>
  <si>
    <t>CONSIG REFER BCA ELECTRONICA</t>
  </si>
  <si>
    <t>MEDELLIN</t>
  </si>
  <si>
    <t>BARRIO TRISTE</t>
  </si>
  <si>
    <t>163201000000000000</t>
  </si>
  <si>
    <t>CNB REDES</t>
  </si>
  <si>
    <t>432704000000000000</t>
  </si>
  <si>
    <t>202301000000000000</t>
  </si>
  <si>
    <t>180101000000000000</t>
  </si>
  <si>
    <t>433201000000000000</t>
  </si>
  <si>
    <t>982980000000000000</t>
  </si>
  <si>
    <t>432904000000000000</t>
  </si>
  <si>
    <t>CIUDAD KENNEDY</t>
  </si>
  <si>
    <t>432000000000000000</t>
  </si>
  <si>
    <t>432304000000000000</t>
  </si>
  <si>
    <t>180100000000000000</t>
  </si>
  <si>
    <t>180108000000000000</t>
  </si>
  <si>
    <t>MANIZALES</t>
  </si>
  <si>
    <t>180601000000000000</t>
  </si>
  <si>
    <t>982981000000000000</t>
  </si>
  <si>
    <t>300102000000000000</t>
  </si>
  <si>
    <t>ZONA FRANCA BOGOTA</t>
  </si>
  <si>
    <t>202310000000000000</t>
  </si>
  <si>
    <t>202302000000000000</t>
  </si>
  <si>
    <t>434353000000000000</t>
  </si>
  <si>
    <t>NEIVA</t>
  </si>
  <si>
    <t>QUINTA CAMACHO</t>
  </si>
  <si>
    <t>ARMENIA</t>
  </si>
  <si>
    <t>CALLE 21 ARMENIA</t>
  </si>
  <si>
    <t>180207000000000000</t>
  </si>
  <si>
    <t>310002000000000000</t>
  </si>
  <si>
    <t>202702000000000000</t>
  </si>
  <si>
    <t>310001000000000000</t>
  </si>
  <si>
    <t>980121000000000000</t>
  </si>
  <si>
    <t>OCANA</t>
  </si>
  <si>
    <t>180208000000000000</t>
  </si>
  <si>
    <t>300101000000000000</t>
  </si>
  <si>
    <t>432100000000000000</t>
  </si>
  <si>
    <t>182908000000000000</t>
  </si>
  <si>
    <t>180801000000000000</t>
  </si>
  <si>
    <t>202402000000000000</t>
  </si>
  <si>
    <t>202401000000000000</t>
  </si>
  <si>
    <t>980210000000000000</t>
  </si>
  <si>
    <t>202305000000000000</t>
  </si>
  <si>
    <t>434105000000000000</t>
  </si>
  <si>
    <t>180210000000000000</t>
  </si>
  <si>
    <t>180102000000000000</t>
  </si>
  <si>
    <t>181007000000000000</t>
  </si>
  <si>
    <t>434505000000000000</t>
  </si>
  <si>
    <t>980310000000000000</t>
  </si>
  <si>
    <t>430500000000000000</t>
  </si>
  <si>
    <t>600701000000000000</t>
  </si>
  <si>
    <t>980110000000000000</t>
  </si>
  <si>
    <t>CTRO PAGOS MANIZALES</t>
  </si>
  <si>
    <t>QUINTA AVENIDA</t>
  </si>
  <si>
    <t>PURIFICACI</t>
  </si>
  <si>
    <t>PURIFICACION</t>
  </si>
  <si>
    <t>800710000000000000</t>
  </si>
  <si>
    <t>600702000000000000</t>
  </si>
  <si>
    <t>180110000000000000</t>
  </si>
  <si>
    <t>FLORALIA</t>
  </si>
  <si>
    <t>BARRIOS UNIDOS</t>
  </si>
  <si>
    <t>B/MANGA</t>
  </si>
  <si>
    <t>CANAVERAL</t>
  </si>
  <si>
    <t>180105000000000000</t>
  </si>
  <si>
    <t>450700000000000000</t>
  </si>
  <si>
    <t>ABREGO</t>
  </si>
  <si>
    <t>C. PAGOS FONTIBON</t>
  </si>
  <si>
    <t>150001000000000000</t>
  </si>
  <si>
    <t>100701000000000000</t>
  </si>
  <si>
    <t>180107000000000000</t>
  </si>
  <si>
    <t>MERCANTIL</t>
  </si>
  <si>
    <t>CONSIG NAL REFERENC EFECTIVO</t>
  </si>
  <si>
    <t>SAN PEDRO</t>
  </si>
  <si>
    <t>180202000000000000</t>
  </si>
  <si>
    <t>CUCUTA</t>
  </si>
  <si>
    <t>180407000000000000</t>
  </si>
  <si>
    <t>CHAPINERO</t>
  </si>
  <si>
    <t>CENTRO SUBA</t>
  </si>
  <si>
    <t>C/QUINQUIR</t>
  </si>
  <si>
    <t>CHIQUINQUIRA</t>
  </si>
  <si>
    <t>TER DE CARGA INTERN.</t>
  </si>
  <si>
    <t>500101000000000000</t>
  </si>
  <si>
    <t>AUTONAL</t>
  </si>
  <si>
    <t>PAGO DE PROV SEKO COLOMBIA SA</t>
  </si>
  <si>
    <t>SEKO COLOMBIA SA</t>
  </si>
  <si>
    <t>C/DELA EMP/RIAL C.26</t>
  </si>
  <si>
    <t>HONDA</t>
  </si>
  <si>
    <t>ZIPAQUIRA</t>
  </si>
  <si>
    <t>FUNZA</t>
  </si>
  <si>
    <t>LA CALERA</t>
  </si>
  <si>
    <t>181002000000000000</t>
  </si>
  <si>
    <t>AVENIDA CERO</t>
  </si>
  <si>
    <t>BANCO</t>
  </si>
  <si>
    <t>LIBROS</t>
  </si>
  <si>
    <t>saldos igual mdp</t>
  </si>
  <si>
    <t>Saldos diferentes MDP</t>
  </si>
  <si>
    <t>Validar formulacion, arrastra saldos anteriores</t>
  </si>
  <si>
    <t>CONCILIACION INICIAL</t>
  </si>
  <si>
    <t>DEBITO BANCOS</t>
  </si>
  <si>
    <t>SALDO BANCOAGOSTO 4</t>
  </si>
  <si>
    <t>SALDO CONTABILIDAD AGOSTO 4</t>
  </si>
  <si>
    <t>SALDO BANCO MANUAL</t>
  </si>
  <si>
    <t>AUTOMATICO</t>
  </si>
  <si>
    <t>EXTRACTO</t>
  </si>
  <si>
    <t>CUADRE MOVIMIENTO BANCOS 1 A 4 AGOSTO</t>
  </si>
  <si>
    <t>CUADRE MOVIMIENTO CONTABLE 1 A 4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</si>
</sst>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.00_);_(* \(#,##0.00\);_(* &quot;-&quot;_);_(@_)"/>
    <numFmt numFmtId="166" formatCode="_-* #,##0.00_-;\-* #,##0.00_-;_-* &quot;-&quot;??_-;_-@"/>
  </numFmts>
  <fonts count="15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B0F0"/>
      </patternFill>
    </fill>
    <fill>
      <patternFill patternType="solid">
        <fgColor rgb="FF92D05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rgb="FFFFFF00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48">
    <xf numFmtId="0" fontId="0" fillId="0" borderId="0" xfId="0"/>
    <xf numFmtId="0" fontId="4" fillId="0" borderId="0" xfId="0" applyFont="1"/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64" fontId="5" fillId="3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4" fillId="0" borderId="6" xfId="0" applyNumberFormat="1" applyFont="1" applyBorder="1"/>
    <xf numFmtId="0" fontId="4" fillId="0" borderId="6" xfId="0" applyFont="1" applyBorder="1"/>
    <xf numFmtId="14" fontId="4" fillId="0" borderId="6" xfId="0" applyNumberFormat="1" applyFont="1" applyBorder="1"/>
    <xf numFmtId="0" fontId="2" fillId="2" borderId="7" xfId="0" applyFont="1" applyFill="1" applyBorder="1"/>
    <xf numFmtId="0" fontId="2" fillId="2" borderId="8" xfId="0" applyFont="1" applyFill="1" applyBorder="1"/>
    <xf numFmtId="164" fontId="2" fillId="2" borderId="8" xfId="0" applyNumberFormat="1" applyFont="1" applyFill="1" applyBorder="1"/>
    <xf numFmtId="164" fontId="4" fillId="0" borderId="0" xfId="0" applyNumberFormat="1" applyFont="1"/>
    <xf numFmtId="1" fontId="5" fillId="3" borderId="4" xfId="0" applyNumberFormat="1" applyFont="1" applyFill="1" applyBorder="1" applyAlignment="1">
      <alignment horizontal="center" vertical="center" wrapText="1"/>
    </xf>
    <xf numFmtId="164" fontId="5" fillId="3" borderId="10" xfId="0" applyNumberFormat="1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left"/>
    </xf>
    <xf numFmtId="165" fontId="4" fillId="0" borderId="6" xfId="0" applyNumberFormat="1" applyFont="1" applyBorder="1"/>
    <xf numFmtId="1" fontId="4" fillId="0" borderId="6" xfId="0" applyNumberFormat="1" applyFont="1" applyBorder="1"/>
    <xf numFmtId="14" fontId="4" fillId="0" borderId="6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49" fontId="4" fillId="0" borderId="6" xfId="0" applyNumberFormat="1" applyFont="1" applyBorder="1" applyAlignment="1">
      <alignment horizontal="left" vertical="top" wrapText="1"/>
    </xf>
    <xf numFmtId="1" fontId="4" fillId="0" borderId="11" xfId="0" applyNumberFormat="1" applyFont="1" applyBorder="1"/>
    <xf numFmtId="0" fontId="4" fillId="0" borderId="12" xfId="0" applyFont="1" applyBorder="1"/>
    <xf numFmtId="164" fontId="4" fillId="0" borderId="13" xfId="0" applyNumberFormat="1" applyFont="1" applyBorder="1"/>
    <xf numFmtId="0" fontId="5" fillId="0" borderId="14" xfId="0" applyFont="1" applyBorder="1"/>
    <xf numFmtId="0" fontId="5" fillId="2" borderId="14" xfId="0" applyFont="1" applyFill="1" applyBorder="1"/>
    <xf numFmtId="0" fontId="5" fillId="2" borderId="15" xfId="0" applyFont="1" applyFill="1" applyBorder="1"/>
    <xf numFmtId="0" fontId="4" fillId="2" borderId="14" xfId="0" applyFont="1" applyFill="1" applyBorder="1"/>
    <xf numFmtId="0" fontId="4" fillId="0" borderId="16" xfId="0" applyFont="1" applyBorder="1"/>
    <xf numFmtId="164" fontId="5" fillId="2" borderId="14" xfId="0" applyNumberFormat="1" applyFont="1" applyFill="1" applyBorder="1"/>
    <xf numFmtId="164" fontId="5" fillId="2" borderId="15" xfId="0" applyNumberFormat="1" applyFont="1" applyFill="1" applyBorder="1"/>
    <xf numFmtId="0" fontId="4" fillId="0" borderId="18" xfId="0" applyFont="1" applyBorder="1"/>
    <xf numFmtId="164" fontId="6" fillId="0" borderId="18" xfId="0" applyNumberFormat="1" applyFont="1" applyBorder="1"/>
    <xf numFmtId="164" fontId="4" fillId="0" borderId="18" xfId="0" applyNumberFormat="1" applyFont="1" applyBorder="1"/>
    <xf numFmtId="0" fontId="4" fillId="0" borderId="20" xfId="0" applyFont="1" applyBorder="1"/>
    <xf numFmtId="164" fontId="4" fillId="0" borderId="20" xfId="0" applyNumberFormat="1" applyFont="1" applyBorder="1"/>
    <xf numFmtId="0" fontId="4" fillId="0" borderId="22" xfId="0" applyFont="1" applyBorder="1"/>
    <xf numFmtId="164" fontId="4" fillId="0" borderId="22" xfId="0" applyNumberFormat="1" applyFont="1" applyBorder="1"/>
    <xf numFmtId="0" fontId="4" fillId="0" borderId="24" xfId="0" applyFont="1" applyBorder="1"/>
    <xf numFmtId="0" fontId="4" fillId="0" borderId="13" xfId="0" applyFont="1" applyBorder="1"/>
    <xf numFmtId="0" fontId="9" fillId="0" borderId="25" xfId="0" applyFont="1" applyBorder="1" applyAlignment="1">
      <alignment horizontal="center" wrapText="1"/>
    </xf>
    <xf numFmtId="14" fontId="10" fillId="0" borderId="25" xfId="0" applyNumberFormat="1" applyFont="1" applyBorder="1" applyAlignment="1">
      <alignment wrapText="1"/>
    </xf>
    <xf numFmtId="0" fontId="10" fillId="0" borderId="25" xfId="0" applyFont="1" applyBorder="1" applyAlignment="1">
      <alignment wrapText="1"/>
    </xf>
    <xf numFmtId="43" fontId="10" fillId="0" borderId="25" xfId="1" applyFont="1" applyBorder="1" applyAlignment="1">
      <alignment wrapText="1"/>
    </xf>
    <xf numFmtId="43" fontId="0" fillId="0" borderId="0" xfId="1" applyFont="1"/>
    <xf numFmtId="0" fontId="9" fillId="0" borderId="0" xfId="0" applyFont="1" applyAlignment="1">
      <alignment horizontal="center"/>
    </xf>
    <xf numFmtId="43" fontId="9" fillId="0" borderId="0" xfId="1" applyFont="1" applyAlignment="1">
      <alignment horizontal="center"/>
    </xf>
    <xf numFmtId="0" fontId="11" fillId="0" borderId="0" xfId="0" applyFont="1"/>
    <xf numFmtId="43" fontId="11" fillId="0" borderId="0" xfId="1" applyFont="1"/>
    <xf numFmtId="0" fontId="0" fillId="4" borderId="0" xfId="0" applyFill="1"/>
    <xf numFmtId="0" fontId="11" fillId="4" borderId="0" xfId="0" applyFont="1" applyFill="1"/>
    <xf numFmtId="0" fontId="0" fillId="0" borderId="0" xfId="0" quotePrefix="1"/>
    <xf numFmtId="4" fontId="8" fillId="0" borderId="26" xfId="0" applyNumberFormat="1" applyFont="1" applyBorder="1"/>
    <xf numFmtId="43" fontId="8" fillId="0" borderId="26" xfId="1" applyFont="1" applyBorder="1"/>
    <xf numFmtId="43" fontId="10" fillId="0" borderId="27" xfId="1" applyFont="1" applyBorder="1" applyAlignment="1">
      <alignment wrapText="1"/>
    </xf>
    <xf numFmtId="0" fontId="10" fillId="0" borderId="27" xfId="0" applyFont="1" applyBorder="1" applyAlignment="1">
      <alignment wrapText="1"/>
    </xf>
    <xf numFmtId="0" fontId="12" fillId="2" borderId="14" xfId="0" applyFont="1" applyFill="1" applyBorder="1"/>
    <xf numFmtId="0" fontId="13" fillId="2" borderId="14" xfId="0" applyFont="1" applyFill="1" applyBorder="1"/>
    <xf numFmtId="0" fontId="13" fillId="2" borderId="15" xfId="0" applyFont="1" applyFill="1" applyBorder="1"/>
    <xf numFmtId="1" fontId="5" fillId="0" borderId="16" xfId="0" applyNumberFormat="1" applyFont="1" applyBorder="1"/>
    <xf numFmtId="1" fontId="5" fillId="0" borderId="17" xfId="0" applyNumberFormat="1" applyFont="1" applyBorder="1"/>
    <xf numFmtId="164" fontId="4" fillId="5" borderId="20" xfId="0" applyNumberFormat="1" applyFont="1" applyFill="1" applyBorder="1"/>
    <xf numFmtId="164" fontId="5" fillId="5" borderId="20" xfId="0" applyNumberFormat="1" applyFont="1" applyFill="1" applyBorder="1"/>
    <xf numFmtId="164" fontId="5" fillId="6" borderId="14" xfId="0" applyNumberFormat="1" applyFont="1" applyFill="1" applyBorder="1"/>
    <xf numFmtId="164" fontId="4" fillId="5" borderId="21" xfId="0" applyNumberFormat="1" applyFont="1" applyFill="1" applyBorder="1"/>
    <xf numFmtId="0" fontId="1" fillId="0" borderId="0" xfId="0" applyFont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164" fontId="4" fillId="7" borderId="20" xfId="0" applyNumberFormat="1" applyFont="1" applyFill="1" applyBorder="1"/>
    <xf numFmtId="164" fontId="4" fillId="7" borderId="22" xfId="0" applyNumberFormat="1" applyFont="1" applyFill="1" applyBorder="1"/>
    <xf numFmtId="164" fontId="4" fillId="7" borderId="21" xfId="0" applyNumberFormat="1" applyFont="1" applyFill="1" applyBorder="1"/>
    <xf numFmtId="164" fontId="4" fillId="7" borderId="23" xfId="0" applyNumberFormat="1" applyFont="1" applyFill="1" applyBorder="1"/>
    <xf numFmtId="0" fontId="0" fillId="5" borderId="0" xfId="0" applyFill="1"/>
    <xf numFmtId="0" fontId="5" fillId="8" borderId="14" xfId="0" applyFont="1" applyFill="1" applyBorder="1"/>
    <xf numFmtId="166" fontId="5" fillId="8" borderId="14" xfId="0" applyNumberFormat="1" applyFont="1" applyFill="1" applyBorder="1"/>
    <xf numFmtId="166" fontId="5" fillId="8" borderId="15" xfId="0" applyNumberFormat="1" applyFont="1" applyFill="1" applyBorder="1"/>
    <xf numFmtId="43" fontId="8" fillId="9" borderId="29" xfId="0" applyNumberFormat="1" applyFont="1" applyFill="1" applyBorder="1"/>
    <xf numFmtId="43" fontId="8" fillId="9" borderId="31" xfId="0" applyNumberFormat="1" applyFont="1" applyFill="1" applyBorder="1"/>
    <xf numFmtId="0" fontId="0" fillId="9" borderId="0" xfId="0" applyFill="1"/>
    <xf numFmtId="164" fontId="4" fillId="10" borderId="18" xfId="0" applyNumberFormat="1" applyFont="1" applyFill="1" applyBorder="1"/>
    <xf numFmtId="164" fontId="4" fillId="10" borderId="20" xfId="0" applyNumberFormat="1" applyFont="1" applyFill="1" applyBorder="1"/>
    <xf numFmtId="0" fontId="0" fillId="10" borderId="0" xfId="0" applyFill="1"/>
    <xf numFmtId="164" fontId="6" fillId="10" borderId="18" xfId="0" applyNumberFormat="1" applyFont="1" applyFill="1" applyBorder="1"/>
    <xf numFmtId="164" fontId="4" fillId="10" borderId="19" xfId="0" applyNumberFormat="1" applyFont="1" applyFill="1" applyBorder="1"/>
    <xf numFmtId="164" fontId="4" fillId="10" borderId="21" xfId="0" applyNumberFormat="1" applyFont="1" applyFill="1" applyBorder="1"/>
    <xf numFmtId="0" fontId="0" fillId="0" borderId="0" xfId="0" applyAlignment="1">
      <alignment wrapText="1"/>
    </xf>
    <xf numFmtId="164" fontId="0" fillId="0" borderId="0" xfId="0" applyNumberFormat="1"/>
    <xf numFmtId="43" fontId="0" fillId="0" borderId="0" xfId="0" applyNumberFormat="1"/>
    <xf numFmtId="0" fontId="1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0" fontId="3" fillId="0" borderId="9" xfId="0" applyFont="1" applyBorder="1"/>
    <xf numFmtId="0" fontId="4" fillId="0" borderId="0" xfId="0" applyFont="1" applyBorder="1"/>
    <xf numFmtId="0" fontId="5" fillId="2" borderId="3" xfId="0" applyFont="1" applyFill="1" applyBorder="1"/>
    <xf numFmtId="0" fontId="13" fillId="2" borderId="3" xfId="0" applyFont="1" applyFill="1" applyBorder="1"/>
    <xf numFmtId="1" fontId="5" fillId="0" borderId="0" xfId="0" applyNumberFormat="1" applyFont="1" applyBorder="1"/>
    <xf numFmtId="164" fontId="5" fillId="6" borderId="3" xfId="0" applyNumberFormat="1" applyFont="1" applyFill="1" applyBorder="1"/>
    <xf numFmtId="164" fontId="4" fillId="0" borderId="32" xfId="0" applyNumberFormat="1" applyFont="1" applyBorder="1"/>
    <xf numFmtId="164" fontId="4" fillId="0" borderId="33" xfId="0" applyNumberFormat="1" applyFont="1" applyBorder="1"/>
    <xf numFmtId="164" fontId="4" fillId="0" borderId="34" xfId="0" applyNumberFormat="1" applyFont="1" applyBorder="1"/>
    <xf numFmtId="166" fontId="5" fillId="8" borderId="3" xfId="0" applyNumberFormat="1" applyFont="1" applyFill="1" applyBorder="1"/>
    <xf numFmtId="0" fontId="8" fillId="10" borderId="35" xfId="0" applyFont="1" applyFill="1" applyBorder="1" applyAlignment="1">
      <alignment horizontal="center" vertical="center" wrapText="1"/>
    </xf>
    <xf numFmtId="0" fontId="8" fillId="10" borderId="36" xfId="0" applyFont="1" applyFill="1" applyBorder="1" applyAlignment="1">
      <alignment horizontal="center" vertical="center" wrapText="1"/>
    </xf>
    <xf numFmtId="0" fontId="8" fillId="10" borderId="37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8" fillId="4" borderId="36" xfId="0" applyFont="1" applyFill="1" applyBorder="1" applyAlignment="1">
      <alignment horizontal="center" vertical="center" wrapText="1"/>
    </xf>
    <xf numFmtId="0" fontId="8" fillId="4" borderId="37" xfId="0" applyFont="1" applyFill="1" applyBorder="1" applyAlignment="1">
      <alignment horizontal="center" vertical="center" wrapText="1"/>
    </xf>
    <xf numFmtId="0" fontId="5" fillId="2" borderId="38" xfId="0" applyFont="1" applyFill="1" applyBorder="1"/>
    <xf numFmtId="164" fontId="5" fillId="6" borderId="38" xfId="0" applyNumberFormat="1" applyFont="1" applyFill="1" applyBorder="1"/>
    <xf numFmtId="164" fontId="5" fillId="6" borderId="39" xfId="0" applyNumberFormat="1" applyFont="1" applyFill="1" applyBorder="1"/>
    <xf numFmtId="0" fontId="4" fillId="0" borderId="40" xfId="0" applyFont="1" applyBorder="1"/>
    <xf numFmtId="0" fontId="4" fillId="0" borderId="41" xfId="0" applyFont="1" applyBorder="1"/>
    <xf numFmtId="164" fontId="6" fillId="0" borderId="41" xfId="0" applyNumberFormat="1" applyFont="1" applyBorder="1"/>
    <xf numFmtId="0" fontId="5" fillId="0" borderId="17" xfId="0" applyFont="1" applyBorder="1" applyAlignment="1">
      <alignment horizontal="center" vertical="center"/>
    </xf>
    <xf numFmtId="0" fontId="4" fillId="0" borderId="42" xfId="0" applyFont="1" applyBorder="1"/>
    <xf numFmtId="0" fontId="4" fillId="0" borderId="43" xfId="0" applyFont="1" applyBorder="1"/>
    <xf numFmtId="0" fontId="5" fillId="2" borderId="24" xfId="0" applyFont="1" applyFill="1" applyBorder="1"/>
    <xf numFmtId="164" fontId="5" fillId="6" borderId="24" xfId="0" applyNumberFormat="1" applyFont="1" applyFill="1" applyBorder="1"/>
    <xf numFmtId="164" fontId="5" fillId="6" borderId="12" xfId="0" applyNumberFormat="1" applyFont="1" applyFill="1" applyBorder="1"/>
    <xf numFmtId="0" fontId="5" fillId="9" borderId="44" xfId="0" applyFont="1" applyFill="1" applyBorder="1" applyAlignment="1">
      <alignment horizontal="center" vertical="center"/>
    </xf>
    <xf numFmtId="0" fontId="4" fillId="9" borderId="45" xfId="0" applyFont="1" applyFill="1" applyBorder="1"/>
    <xf numFmtId="164" fontId="4" fillId="9" borderId="45" xfId="0" applyNumberFormat="1" applyFont="1" applyFill="1" applyBorder="1"/>
    <xf numFmtId="0" fontId="5" fillId="11" borderId="14" xfId="0" applyFont="1" applyFill="1" applyBorder="1"/>
    <xf numFmtId="164" fontId="5" fillId="11" borderId="14" xfId="0" applyNumberFormat="1" applyFont="1" applyFill="1" applyBorder="1"/>
    <xf numFmtId="164" fontId="5" fillId="11" borderId="3" xfId="0" applyNumberFormat="1" applyFont="1" applyFill="1" applyBorder="1"/>
    <xf numFmtId="0" fontId="5" fillId="4" borderId="44" xfId="0" applyFont="1" applyFill="1" applyBorder="1" applyAlignment="1">
      <alignment horizontal="center" vertical="center"/>
    </xf>
    <xf numFmtId="0" fontId="5" fillId="4" borderId="45" xfId="0" applyFont="1" applyFill="1" applyBorder="1"/>
    <xf numFmtId="164" fontId="14" fillId="4" borderId="45" xfId="0" applyNumberFormat="1" applyFont="1" applyFill="1" applyBorder="1"/>
    <xf numFmtId="164" fontId="6" fillId="0" borderId="46" xfId="0" applyNumberFormat="1" applyFont="1" applyBorder="1"/>
    <xf numFmtId="164" fontId="14" fillId="4" borderId="47" xfId="0" applyNumberFormat="1" applyFont="1" applyFill="1" applyBorder="1"/>
    <xf numFmtId="164" fontId="4" fillId="9" borderId="47" xfId="0" applyNumberFormat="1" applyFont="1" applyFill="1" applyBorder="1"/>
    <xf numFmtId="166" fontId="5" fillId="8" borderId="1" xfId="0" applyNumberFormat="1" applyFont="1" applyFill="1" applyBorder="1"/>
    <xf numFmtId="0" fontId="14" fillId="2" borderId="14" xfId="0" applyFont="1" applyFill="1" applyBorder="1"/>
    <xf numFmtId="164" fontId="14" fillId="2" borderId="14" xfId="0" applyNumberFormat="1" applyFont="1" applyFill="1" applyBorder="1"/>
    <xf numFmtId="164" fontId="14" fillId="2" borderId="1" xfId="0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07"/>
  <sheetViews>
    <sheetView showGridLines="0" workbookViewId="0">
      <pane ySplit="1" topLeftCell="A10" activePane="bottomLeft" state="frozen"/>
      <selection pane="bottomLeft" activeCell="L80" sqref="L80"/>
    </sheetView>
  </sheetViews>
  <sheetFormatPr baseColWidth="10" defaultColWidth="12.625" defaultRowHeight="15" customHeight="1" x14ac:dyDescent="0.2"/>
  <cols>
    <col min="2" max="2" width="11.5" customWidth="1"/>
    <col min="3" max="3" width="13.375" customWidth="1"/>
    <col min="4" max="4" width="15.75" customWidth="1"/>
    <col min="5" max="5" width="15.5" customWidth="1"/>
    <col min="6" max="6" width="15.25" customWidth="1"/>
    <col min="7" max="7" width="12.75" customWidth="1"/>
    <col min="8" max="8" width="38.25" customWidth="1"/>
    <col min="9" max="9" width="18.375" customWidth="1"/>
    <col min="10" max="10" width="17.125" customWidth="1"/>
    <col min="11" max="11" width="9.375" customWidth="1"/>
    <col min="12" max="12" width="13.375" bestFit="1" customWidth="1"/>
    <col min="13" max="26" width="9.375" customWidth="1"/>
  </cols>
  <sheetData>
    <row r="1" spans="1:26" ht="18.75" x14ac:dyDescent="0.3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5">
        <v>7</v>
      </c>
      <c r="B3" s="5" t="s">
        <v>11</v>
      </c>
      <c r="C3" s="5" t="s">
        <v>12</v>
      </c>
      <c r="D3" s="6">
        <v>44043</v>
      </c>
      <c r="E3" s="5"/>
      <c r="F3" s="5"/>
      <c r="G3" s="5"/>
      <c r="H3" s="7" t="s">
        <v>13</v>
      </c>
      <c r="I3" s="5">
        <v>0</v>
      </c>
      <c r="J3" s="8">
        <v>217.53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">
      <c r="A4" s="5">
        <v>7</v>
      </c>
      <c r="B4" s="5" t="s">
        <v>11</v>
      </c>
      <c r="C4" s="5" t="s">
        <v>12</v>
      </c>
      <c r="D4" s="6">
        <v>44043</v>
      </c>
      <c r="E4" s="5"/>
      <c r="F4" s="7"/>
      <c r="G4" s="5"/>
      <c r="H4" s="7" t="s">
        <v>14</v>
      </c>
      <c r="I4" s="5">
        <v>0</v>
      </c>
      <c r="J4" s="8">
        <v>1057.8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">
      <c r="A5" s="5">
        <v>7</v>
      </c>
      <c r="B5" s="5" t="s">
        <v>11</v>
      </c>
      <c r="C5" s="5" t="s">
        <v>12</v>
      </c>
      <c r="D5" s="6">
        <v>44043</v>
      </c>
      <c r="E5" s="5"/>
      <c r="F5" s="5"/>
      <c r="G5" s="5"/>
      <c r="H5" s="7" t="s">
        <v>15</v>
      </c>
      <c r="I5" s="5">
        <v>0</v>
      </c>
      <c r="J5" s="8">
        <v>1339.5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">
      <c r="A6" s="5">
        <v>7</v>
      </c>
      <c r="B6" s="5" t="s">
        <v>11</v>
      </c>
      <c r="C6" s="5" t="s">
        <v>12</v>
      </c>
      <c r="D6" s="6">
        <v>44043</v>
      </c>
      <c r="E6" s="5"/>
      <c r="F6" s="5"/>
      <c r="G6" s="5"/>
      <c r="H6" s="7" t="s">
        <v>16</v>
      </c>
      <c r="I6" s="5">
        <v>0</v>
      </c>
      <c r="J6" s="8">
        <v>6764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">
      <c r="A7" s="5">
        <v>7</v>
      </c>
      <c r="B7" s="5" t="s">
        <v>11</v>
      </c>
      <c r="C7" s="5" t="s">
        <v>12</v>
      </c>
      <c r="D7" s="10">
        <v>44043</v>
      </c>
      <c r="E7" s="5"/>
      <c r="F7" s="5"/>
      <c r="G7" s="5"/>
      <c r="H7" s="5" t="s">
        <v>16</v>
      </c>
      <c r="I7" s="5">
        <v>0</v>
      </c>
      <c r="J7" s="11">
        <v>8455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">
      <c r="A8" s="5">
        <v>7</v>
      </c>
      <c r="B8" s="5" t="s">
        <v>11</v>
      </c>
      <c r="C8" s="5" t="s">
        <v>12</v>
      </c>
      <c r="D8" s="10">
        <v>44043</v>
      </c>
      <c r="E8" s="5"/>
      <c r="F8" s="5"/>
      <c r="G8" s="5"/>
      <c r="H8" s="5" t="s">
        <v>15</v>
      </c>
      <c r="I8" s="5">
        <v>0</v>
      </c>
      <c r="J8" s="11">
        <v>10716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">
      <c r="A9" s="5">
        <v>7</v>
      </c>
      <c r="B9" s="5" t="s">
        <v>11</v>
      </c>
      <c r="C9" s="5" t="s">
        <v>12</v>
      </c>
      <c r="D9" s="10">
        <v>44043</v>
      </c>
      <c r="E9" s="5"/>
      <c r="F9" s="5"/>
      <c r="G9" s="5"/>
      <c r="H9" s="5" t="s">
        <v>17</v>
      </c>
      <c r="I9" s="5">
        <v>0</v>
      </c>
      <c r="J9" s="11">
        <v>14730.43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5">
        <v>7</v>
      </c>
      <c r="B10" s="5" t="s">
        <v>11</v>
      </c>
      <c r="C10" s="5" t="s">
        <v>12</v>
      </c>
      <c r="D10" s="12">
        <v>44032</v>
      </c>
      <c r="E10" s="13" t="s">
        <v>18</v>
      </c>
      <c r="F10" s="13"/>
      <c r="G10" s="13"/>
      <c r="H10" s="13" t="s">
        <v>19</v>
      </c>
      <c r="I10" s="14">
        <v>0</v>
      </c>
      <c r="J10" s="14">
        <v>147408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5">
        <v>7</v>
      </c>
      <c r="B11" s="5" t="s">
        <v>11</v>
      </c>
      <c r="C11" s="13" t="s">
        <v>20</v>
      </c>
      <c r="D11" s="12">
        <v>44043</v>
      </c>
      <c r="E11" s="13" t="s">
        <v>21</v>
      </c>
      <c r="F11" s="13"/>
      <c r="G11" s="13"/>
      <c r="H11" s="13" t="s">
        <v>22</v>
      </c>
      <c r="I11" s="14">
        <v>280000</v>
      </c>
      <c r="J11" s="14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5">
        <v>7</v>
      </c>
      <c r="B12" s="5" t="s">
        <v>11</v>
      </c>
      <c r="C12" s="13" t="s">
        <v>20</v>
      </c>
      <c r="D12" s="12">
        <v>44043</v>
      </c>
      <c r="E12" s="13" t="s">
        <v>23</v>
      </c>
      <c r="F12" s="13" t="s">
        <v>23</v>
      </c>
      <c r="G12" s="13"/>
      <c r="H12" s="13" t="s">
        <v>24</v>
      </c>
      <c r="I12" s="14">
        <v>640056</v>
      </c>
      <c r="J12" s="14"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5">
        <v>7</v>
      </c>
      <c r="B13" s="5" t="s">
        <v>11</v>
      </c>
      <c r="C13" s="13" t="s">
        <v>20</v>
      </c>
      <c r="D13" s="12">
        <v>44043</v>
      </c>
      <c r="E13" s="13" t="s">
        <v>25</v>
      </c>
      <c r="F13" s="13"/>
      <c r="G13" s="13"/>
      <c r="H13" s="13" t="s">
        <v>26</v>
      </c>
      <c r="I13" s="14">
        <v>1500000</v>
      </c>
      <c r="J13" s="14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5">
        <v>7</v>
      </c>
      <c r="B14" s="5" t="s">
        <v>11</v>
      </c>
      <c r="C14" s="13" t="s">
        <v>20</v>
      </c>
      <c r="D14" s="12">
        <v>44043</v>
      </c>
      <c r="E14" s="13" t="s">
        <v>27</v>
      </c>
      <c r="F14" s="13"/>
      <c r="G14" s="13"/>
      <c r="H14" s="13" t="s">
        <v>26</v>
      </c>
      <c r="I14" s="14">
        <v>2623865</v>
      </c>
      <c r="J14" s="14"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5">
        <v>7</v>
      </c>
      <c r="B15" s="5" t="s">
        <v>11</v>
      </c>
      <c r="C15" s="13" t="s">
        <v>20</v>
      </c>
      <c r="D15" s="12">
        <v>44043</v>
      </c>
      <c r="E15" s="13" t="s">
        <v>28</v>
      </c>
      <c r="F15" s="13"/>
      <c r="G15" s="13"/>
      <c r="H15" s="13" t="s">
        <v>29</v>
      </c>
      <c r="I15" s="14">
        <v>2785000</v>
      </c>
      <c r="J15" s="14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5">
        <v>7</v>
      </c>
      <c r="B16" s="5" t="s">
        <v>11</v>
      </c>
      <c r="C16" s="13" t="s">
        <v>20</v>
      </c>
      <c r="D16" s="12">
        <v>44042</v>
      </c>
      <c r="E16" s="13" t="s">
        <v>30</v>
      </c>
      <c r="F16" s="13"/>
      <c r="G16" s="13"/>
      <c r="H16" s="13" t="s">
        <v>22</v>
      </c>
      <c r="I16" s="14">
        <v>5500000</v>
      </c>
      <c r="J16" s="14"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5">
        <v>7</v>
      </c>
      <c r="B17" s="5" t="s">
        <v>11</v>
      </c>
      <c r="C17" s="13" t="s">
        <v>20</v>
      </c>
      <c r="D17" s="12">
        <v>44043</v>
      </c>
      <c r="E17" s="13" t="s">
        <v>31</v>
      </c>
      <c r="F17" s="13"/>
      <c r="G17" s="13"/>
      <c r="H17" s="13" t="s">
        <v>22</v>
      </c>
      <c r="I17" s="14">
        <v>5600000</v>
      </c>
      <c r="J17" s="14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5">
        <v>7</v>
      </c>
      <c r="B18" s="5" t="s">
        <v>11</v>
      </c>
      <c r="C18" s="13" t="s">
        <v>20</v>
      </c>
      <c r="D18" s="12">
        <v>44043</v>
      </c>
      <c r="E18" s="13" t="s">
        <v>32</v>
      </c>
      <c r="F18" s="13"/>
      <c r="G18" s="13"/>
      <c r="H18" s="13" t="s">
        <v>33</v>
      </c>
      <c r="I18" s="14">
        <v>9000000</v>
      </c>
      <c r="J18" s="14"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5">
        <v>7</v>
      </c>
      <c r="B19" s="5" t="s">
        <v>11</v>
      </c>
      <c r="C19" s="13" t="s">
        <v>20</v>
      </c>
      <c r="D19" s="12">
        <v>44043</v>
      </c>
      <c r="E19" s="13" t="s">
        <v>34</v>
      </c>
      <c r="F19" s="13" t="s">
        <v>34</v>
      </c>
      <c r="G19" s="13"/>
      <c r="H19" s="13" t="s">
        <v>35</v>
      </c>
      <c r="I19" s="14">
        <v>13820806</v>
      </c>
      <c r="J19" s="14"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5">
        <v>7</v>
      </c>
      <c r="B20" s="5" t="s">
        <v>11</v>
      </c>
      <c r="C20" s="13" t="s">
        <v>20</v>
      </c>
      <c r="D20" s="12">
        <v>44043</v>
      </c>
      <c r="E20" s="13" t="s">
        <v>36</v>
      </c>
      <c r="F20" s="13"/>
      <c r="G20" s="13"/>
      <c r="H20" s="13" t="s">
        <v>26</v>
      </c>
      <c r="I20" s="14">
        <v>20000000</v>
      </c>
      <c r="J20" s="14"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5">
        <v>7</v>
      </c>
      <c r="B21" s="5" t="s">
        <v>11</v>
      </c>
      <c r="C21" s="13" t="s">
        <v>20</v>
      </c>
      <c r="D21" s="12">
        <v>44043</v>
      </c>
      <c r="E21" s="13" t="s">
        <v>37</v>
      </c>
      <c r="F21" s="13"/>
      <c r="G21" s="13"/>
      <c r="H21" s="13" t="s">
        <v>38</v>
      </c>
      <c r="I21" s="14">
        <v>22177133</v>
      </c>
      <c r="J21" s="14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5">
        <v>7</v>
      </c>
      <c r="B22" s="5" t="s">
        <v>11</v>
      </c>
      <c r="C22" s="13" t="s">
        <v>20</v>
      </c>
      <c r="D22" s="12">
        <v>44042</v>
      </c>
      <c r="E22" s="13"/>
      <c r="F22" s="13"/>
      <c r="G22" s="13"/>
      <c r="H22" s="13" t="s">
        <v>39</v>
      </c>
      <c r="I22" s="14">
        <v>260000000</v>
      </c>
      <c r="J22" s="14"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5">
        <v>7</v>
      </c>
      <c r="B23" s="5" t="s">
        <v>11</v>
      </c>
      <c r="C23" s="13" t="s">
        <v>20</v>
      </c>
      <c r="D23" s="12">
        <v>44042</v>
      </c>
      <c r="E23" s="13"/>
      <c r="F23" s="13"/>
      <c r="G23" s="13"/>
      <c r="H23" s="13" t="s">
        <v>14</v>
      </c>
      <c r="I23" s="14">
        <v>0</v>
      </c>
      <c r="J23" s="14">
        <v>50.93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5">
        <v>7</v>
      </c>
      <c r="B24" s="5" t="s">
        <v>11</v>
      </c>
      <c r="C24" s="13" t="s">
        <v>20</v>
      </c>
      <c r="D24" s="12">
        <v>44043</v>
      </c>
      <c r="E24" s="13"/>
      <c r="F24" s="13"/>
      <c r="G24" s="13"/>
      <c r="H24" s="13" t="s">
        <v>14</v>
      </c>
      <c r="I24" s="14">
        <v>0</v>
      </c>
      <c r="J24" s="14">
        <v>118.76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5">
        <v>7</v>
      </c>
      <c r="B25" s="5" t="s">
        <v>11</v>
      </c>
      <c r="C25" s="13" t="s">
        <v>20</v>
      </c>
      <c r="D25" s="12">
        <v>44043</v>
      </c>
      <c r="E25" s="13"/>
      <c r="F25" s="13"/>
      <c r="G25" s="13"/>
      <c r="H25" s="13" t="s">
        <v>16</v>
      </c>
      <c r="I25" s="14">
        <v>0</v>
      </c>
      <c r="J25" s="14">
        <v>845.5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5">
        <v>7</v>
      </c>
      <c r="B26" s="5" t="s">
        <v>11</v>
      </c>
      <c r="C26" s="13" t="s">
        <v>20</v>
      </c>
      <c r="D26" s="12">
        <v>44043</v>
      </c>
      <c r="E26" s="13"/>
      <c r="F26" s="13"/>
      <c r="G26" s="13"/>
      <c r="H26" s="13" t="s">
        <v>16</v>
      </c>
      <c r="I26" s="14">
        <v>0</v>
      </c>
      <c r="J26" s="14">
        <v>845.5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5">
        <v>7</v>
      </c>
      <c r="B27" s="5" t="s">
        <v>11</v>
      </c>
      <c r="C27" s="13" t="s">
        <v>20</v>
      </c>
      <c r="D27" s="12">
        <v>44042</v>
      </c>
      <c r="E27" s="13"/>
      <c r="F27" s="13"/>
      <c r="G27" s="13"/>
      <c r="H27" s="13" t="s">
        <v>16</v>
      </c>
      <c r="I27" s="14">
        <v>0</v>
      </c>
      <c r="J27" s="14">
        <v>2033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5">
        <v>7</v>
      </c>
      <c r="B28" s="5" t="s">
        <v>11</v>
      </c>
      <c r="C28" s="13" t="s">
        <v>20</v>
      </c>
      <c r="D28" s="12">
        <v>44043</v>
      </c>
      <c r="E28" s="13"/>
      <c r="F28" s="13"/>
      <c r="G28" s="13"/>
      <c r="H28" s="13" t="s">
        <v>16</v>
      </c>
      <c r="I28" s="14">
        <v>0</v>
      </c>
      <c r="J28" s="14">
        <v>3049.5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5">
        <v>7</v>
      </c>
      <c r="B29" s="5" t="s">
        <v>11</v>
      </c>
      <c r="C29" s="13" t="s">
        <v>20</v>
      </c>
      <c r="D29" s="12">
        <v>44043</v>
      </c>
      <c r="E29" s="13"/>
      <c r="F29" s="13"/>
      <c r="G29" s="13"/>
      <c r="H29" s="13" t="s">
        <v>40</v>
      </c>
      <c r="I29" s="14">
        <v>0</v>
      </c>
      <c r="J29" s="14">
        <v>4450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5">
        <v>7</v>
      </c>
      <c r="B30" s="5" t="s">
        <v>11</v>
      </c>
      <c r="C30" s="13" t="s">
        <v>20</v>
      </c>
      <c r="D30" s="12">
        <v>44043</v>
      </c>
      <c r="E30" s="13"/>
      <c r="F30" s="13"/>
      <c r="G30" s="13"/>
      <c r="H30" s="13" t="s">
        <v>40</v>
      </c>
      <c r="I30" s="14">
        <v>0</v>
      </c>
      <c r="J30" s="14">
        <v>4450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5">
        <v>7</v>
      </c>
      <c r="B31" s="5" t="s">
        <v>11</v>
      </c>
      <c r="C31" s="13" t="s">
        <v>20</v>
      </c>
      <c r="D31" s="12">
        <v>44042</v>
      </c>
      <c r="E31" s="13"/>
      <c r="F31" s="13"/>
      <c r="G31" s="13"/>
      <c r="H31" s="13" t="s">
        <v>41</v>
      </c>
      <c r="I31" s="14">
        <v>0</v>
      </c>
      <c r="J31" s="14">
        <v>10700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5">
        <v>7</v>
      </c>
      <c r="B32" s="5" t="s">
        <v>11</v>
      </c>
      <c r="C32" s="13" t="s">
        <v>20</v>
      </c>
      <c r="D32" s="12">
        <v>44043</v>
      </c>
      <c r="E32" s="13"/>
      <c r="F32" s="13"/>
      <c r="G32" s="13"/>
      <c r="H32" s="13" t="s">
        <v>41</v>
      </c>
      <c r="I32" s="14">
        <v>0</v>
      </c>
      <c r="J32" s="14">
        <v>16050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">
        <v>7</v>
      </c>
      <c r="B33" s="5" t="s">
        <v>11</v>
      </c>
      <c r="C33" s="13" t="s">
        <v>20</v>
      </c>
      <c r="D33" s="12">
        <v>44026</v>
      </c>
      <c r="E33" s="13"/>
      <c r="F33" s="13"/>
      <c r="G33" s="13"/>
      <c r="H33" s="13" t="s">
        <v>42</v>
      </c>
      <c r="I33" s="14">
        <v>0</v>
      </c>
      <c r="J33" s="14">
        <v>79605033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">
        <v>23</v>
      </c>
      <c r="B34" s="5" t="s">
        <v>11</v>
      </c>
      <c r="C34" s="15">
        <v>242057271</v>
      </c>
      <c r="D34" s="12">
        <v>44034</v>
      </c>
      <c r="E34" s="15"/>
      <c r="F34" s="15"/>
      <c r="G34" s="15"/>
      <c r="H34" s="13" t="s">
        <v>43</v>
      </c>
      <c r="I34" s="14">
        <v>0</v>
      </c>
      <c r="J34" s="14">
        <v>180000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">
        <v>23</v>
      </c>
      <c r="B35" s="5" t="s">
        <v>11</v>
      </c>
      <c r="C35" s="15">
        <v>242057271</v>
      </c>
      <c r="D35" s="12">
        <v>43977</v>
      </c>
      <c r="E35" s="15"/>
      <c r="F35" s="15"/>
      <c r="G35" s="15"/>
      <c r="H35" s="13" t="s">
        <v>43</v>
      </c>
      <c r="I35" s="14">
        <v>0</v>
      </c>
      <c r="J35" s="14">
        <v>289000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5">
        <v>23</v>
      </c>
      <c r="B36" s="15" t="s">
        <v>11</v>
      </c>
      <c r="C36" s="15">
        <v>265056630</v>
      </c>
      <c r="D36" s="16">
        <v>44043</v>
      </c>
      <c r="E36" s="15"/>
      <c r="F36" s="15"/>
      <c r="G36" s="15"/>
      <c r="H36" s="15" t="s">
        <v>44</v>
      </c>
      <c r="I36" s="14">
        <v>0</v>
      </c>
      <c r="J36" s="14"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5" t="s">
        <v>45</v>
      </c>
      <c r="B37" s="15" t="s">
        <v>45</v>
      </c>
      <c r="C37" s="15"/>
      <c r="D37" s="16"/>
      <c r="E37" s="15"/>
      <c r="F37" s="15"/>
      <c r="G37" s="15"/>
      <c r="H37" s="15"/>
      <c r="I37" s="14">
        <f>SUM(I3:I36)</f>
        <v>343926860</v>
      </c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5"/>
      <c r="B38" s="15"/>
      <c r="C38" s="15"/>
      <c r="D38" s="16"/>
      <c r="E38" s="15"/>
      <c r="F38" s="15"/>
      <c r="G38" s="15"/>
      <c r="H38" s="15"/>
      <c r="I38" s="14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7" t="s">
        <v>46</v>
      </c>
      <c r="B39" s="18"/>
      <c r="C39" s="18"/>
      <c r="D39" s="18"/>
      <c r="E39" s="18"/>
      <c r="F39" s="18"/>
      <c r="G39" s="18"/>
      <c r="H39" s="18"/>
      <c r="I39" s="19">
        <f>SUM(I3:I38)</f>
        <v>687853720</v>
      </c>
      <c r="J39" s="19">
        <f>SUM(J3:J38)</f>
        <v>80307314.450000003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thickBot="1" x14ac:dyDescent="0.3">
      <c r="A40" s="1"/>
      <c r="B40" s="1"/>
      <c r="C40" s="20"/>
      <c r="D40" s="1"/>
      <c r="E40" s="1"/>
      <c r="F40" s="1"/>
      <c r="G40" s="1"/>
      <c r="H40" s="1"/>
      <c r="I40" s="20"/>
      <c r="J40" s="2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thickBot="1" x14ac:dyDescent="0.3">
      <c r="A41" s="50" t="s">
        <v>88</v>
      </c>
      <c r="B41" s="50" t="s">
        <v>89</v>
      </c>
      <c r="C41" s="50" t="s">
        <v>90</v>
      </c>
      <c r="D41" s="50" t="s">
        <v>91</v>
      </c>
      <c r="E41" s="50" t="s">
        <v>92</v>
      </c>
      <c r="F41" s="50" t="s">
        <v>93</v>
      </c>
      <c r="G41" s="50" t="s">
        <v>94</v>
      </c>
      <c r="H41" s="50" t="s">
        <v>95</v>
      </c>
      <c r="I41" s="50" t="s">
        <v>96</v>
      </c>
      <c r="J41" s="50" t="s">
        <v>97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thickBot="1" x14ac:dyDescent="0.3">
      <c r="A42" s="51">
        <v>44047</v>
      </c>
      <c r="B42" s="52">
        <v>5503</v>
      </c>
      <c r="C42" s="52" t="s">
        <v>98</v>
      </c>
      <c r="D42" s="52">
        <v>0</v>
      </c>
      <c r="E42" s="53">
        <v>2679</v>
      </c>
      <c r="F42" s="52">
        <v>0</v>
      </c>
      <c r="G42" s="52" t="s">
        <v>99</v>
      </c>
      <c r="H42" s="52" t="s">
        <v>99</v>
      </c>
      <c r="I42" s="52" t="s">
        <v>100</v>
      </c>
      <c r="J42" s="52" t="s">
        <v>100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thickBot="1" x14ac:dyDescent="0.3">
      <c r="A43" s="51">
        <v>44047</v>
      </c>
      <c r="B43" s="52">
        <v>805</v>
      </c>
      <c r="C43" s="52" t="s">
        <v>101</v>
      </c>
      <c r="D43" s="52" t="s">
        <v>102</v>
      </c>
      <c r="E43" s="53">
        <v>0</v>
      </c>
      <c r="F43" s="52">
        <v>529718</v>
      </c>
      <c r="G43" s="52" t="s">
        <v>99</v>
      </c>
      <c r="H43" s="52" t="s">
        <v>99</v>
      </c>
      <c r="I43" s="52" t="s">
        <v>100</v>
      </c>
      <c r="J43" s="52" t="s">
        <v>100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thickBot="1" x14ac:dyDescent="0.3">
      <c r="A44" s="51">
        <v>44047</v>
      </c>
      <c r="B44" s="52">
        <v>1103</v>
      </c>
      <c r="C44" s="52" t="s">
        <v>103</v>
      </c>
      <c r="D44" s="52">
        <v>0</v>
      </c>
      <c r="E44" s="64">
        <v>14100</v>
      </c>
      <c r="F44" s="65">
        <v>0</v>
      </c>
      <c r="G44" s="52" t="s">
        <v>99</v>
      </c>
      <c r="H44" s="52" t="s">
        <v>99</v>
      </c>
      <c r="I44" s="52" t="s">
        <v>100</v>
      </c>
      <c r="J44" s="52" t="s">
        <v>100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thickBot="1" x14ac:dyDescent="0.3">
      <c r="A45" s="59" t="s">
        <v>104</v>
      </c>
      <c r="E45" s="63">
        <f>SUM(E42:E44)</f>
        <v>16779</v>
      </c>
      <c r="F45" s="63">
        <f>SUM(F42:F44)</f>
        <v>529718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55" t="s">
        <v>88</v>
      </c>
      <c r="B47" s="55" t="s">
        <v>89</v>
      </c>
      <c r="C47" s="55" t="s">
        <v>105</v>
      </c>
      <c r="D47" s="55" t="s">
        <v>91</v>
      </c>
      <c r="E47" s="55" t="s">
        <v>92</v>
      </c>
      <c r="F47" s="56" t="s">
        <v>93</v>
      </c>
      <c r="G47" s="55" t="s">
        <v>94</v>
      </c>
      <c r="H47" s="55" t="s">
        <v>95</v>
      </c>
      <c r="I47" s="55" t="s">
        <v>96</v>
      </c>
      <c r="J47" s="55" t="s">
        <v>97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57" t="s">
        <v>106</v>
      </c>
      <c r="B48" s="57" t="s">
        <v>107</v>
      </c>
      <c r="C48" s="57" t="s">
        <v>108</v>
      </c>
      <c r="D48" s="57" t="s">
        <v>109</v>
      </c>
      <c r="E48" s="57">
        <v>256.56</v>
      </c>
      <c r="F48" s="58">
        <v>0</v>
      </c>
      <c r="G48" s="57" t="s">
        <v>99</v>
      </c>
      <c r="H48" s="57" t="s">
        <v>99</v>
      </c>
      <c r="I48" s="57" t="s">
        <v>100</v>
      </c>
      <c r="J48" s="57" t="s">
        <v>100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57" t="s">
        <v>106</v>
      </c>
      <c r="B49" s="57" t="s">
        <v>110</v>
      </c>
      <c r="C49" s="57" t="s">
        <v>111</v>
      </c>
      <c r="D49" s="57" t="s">
        <v>112</v>
      </c>
      <c r="E49" s="57">
        <v>56000</v>
      </c>
      <c r="F49" s="58">
        <v>0</v>
      </c>
      <c r="G49" s="57" t="s">
        <v>99</v>
      </c>
      <c r="H49" s="57" t="s">
        <v>99</v>
      </c>
      <c r="I49" s="57" t="s">
        <v>100</v>
      </c>
      <c r="J49" s="57" t="s">
        <v>100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57" t="s">
        <v>106</v>
      </c>
      <c r="B50" s="57" t="s">
        <v>113</v>
      </c>
      <c r="C50" s="57" t="s">
        <v>114</v>
      </c>
      <c r="D50" s="57" t="s">
        <v>115</v>
      </c>
      <c r="E50" s="57">
        <v>10640</v>
      </c>
      <c r="F50" s="58">
        <v>0</v>
      </c>
      <c r="G50" s="57" t="s">
        <v>99</v>
      </c>
      <c r="H50" s="57" t="s">
        <v>99</v>
      </c>
      <c r="I50" s="57" t="s">
        <v>100</v>
      </c>
      <c r="J50" s="57" t="s">
        <v>100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57" t="s">
        <v>106</v>
      </c>
      <c r="B51" s="57" t="s">
        <v>116</v>
      </c>
      <c r="C51" s="57" t="s">
        <v>117</v>
      </c>
      <c r="D51" s="57" t="s">
        <v>118</v>
      </c>
      <c r="E51" s="57">
        <v>0</v>
      </c>
      <c r="F51" s="58">
        <v>12374121</v>
      </c>
      <c r="G51" s="57" t="s">
        <v>99</v>
      </c>
      <c r="H51" s="57" t="s">
        <v>99</v>
      </c>
      <c r="I51" s="57" t="s">
        <v>100</v>
      </c>
      <c r="J51" s="57" t="s">
        <v>100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57" t="s">
        <v>119</v>
      </c>
      <c r="B52" s="57" t="s">
        <v>116</v>
      </c>
      <c r="C52" s="57" t="s">
        <v>117</v>
      </c>
      <c r="D52" s="57" t="s">
        <v>120</v>
      </c>
      <c r="E52" s="57">
        <v>0</v>
      </c>
      <c r="F52" s="58">
        <v>7468660</v>
      </c>
      <c r="G52" s="57" t="s">
        <v>99</v>
      </c>
      <c r="H52" s="57" t="s">
        <v>99</v>
      </c>
      <c r="I52" s="57" t="s">
        <v>100</v>
      </c>
      <c r="J52" s="57" t="s">
        <v>100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thickBot="1" x14ac:dyDescent="0.3">
      <c r="A53" s="57" t="s">
        <v>119</v>
      </c>
      <c r="B53" s="57" t="s">
        <v>121</v>
      </c>
      <c r="C53" s="57" t="s">
        <v>122</v>
      </c>
      <c r="D53" s="57" t="s">
        <v>123</v>
      </c>
      <c r="E53" s="57">
        <v>0</v>
      </c>
      <c r="F53" s="58">
        <v>15000</v>
      </c>
      <c r="G53" s="57" t="s">
        <v>99</v>
      </c>
      <c r="H53" s="57" t="s">
        <v>99</v>
      </c>
      <c r="I53" s="57" t="s">
        <v>100</v>
      </c>
      <c r="J53" s="57" t="s">
        <v>100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thickBot="1" x14ac:dyDescent="0.3">
      <c r="E54" s="63">
        <f>SUM(E48:E53)</f>
        <v>66896.56</v>
      </c>
      <c r="F54" s="63">
        <f>SUM(F48:F53)</f>
        <v>19857781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60" t="s">
        <v>124</v>
      </c>
      <c r="F55" s="5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20"/>
      <c r="D56" s="1"/>
      <c r="E56" s="1"/>
      <c r="F56" s="1"/>
      <c r="G56" s="1"/>
      <c r="H56" s="1"/>
      <c r="I56" s="20"/>
      <c r="J56" s="2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>
        <v>0</v>
      </c>
      <c r="B57" t="s">
        <v>125</v>
      </c>
      <c r="C57" t="s">
        <v>20</v>
      </c>
      <c r="D57">
        <v>7081</v>
      </c>
      <c r="E57" t="s">
        <v>126</v>
      </c>
      <c r="F57">
        <v>768539</v>
      </c>
      <c r="G57">
        <v>20200804</v>
      </c>
      <c r="H57" t="s">
        <v>127</v>
      </c>
      <c r="I57">
        <v>30</v>
      </c>
      <c r="J57">
        <v>9001469504</v>
      </c>
      <c r="K57">
        <v>1</v>
      </c>
      <c r="L57">
        <v>-5473473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>
        <v>0</v>
      </c>
      <c r="B58" t="s">
        <v>125</v>
      </c>
      <c r="C58" t="s">
        <v>20</v>
      </c>
      <c r="D58">
        <v>5537</v>
      </c>
      <c r="E58" t="s">
        <v>41</v>
      </c>
      <c r="F58">
        <v>0</v>
      </c>
      <c r="G58">
        <v>20200803</v>
      </c>
      <c r="H58" t="s">
        <v>128</v>
      </c>
      <c r="I58">
        <v>39</v>
      </c>
      <c r="K58">
        <v>1</v>
      </c>
      <c r="L58">
        <v>-21400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>
        <v>0</v>
      </c>
      <c r="B59" t="s">
        <v>125</v>
      </c>
      <c r="C59" t="s">
        <v>20</v>
      </c>
      <c r="D59">
        <v>5537</v>
      </c>
      <c r="E59" t="s">
        <v>41</v>
      </c>
      <c r="F59">
        <v>0</v>
      </c>
      <c r="G59">
        <v>20200804</v>
      </c>
      <c r="H59" t="s">
        <v>128</v>
      </c>
      <c r="I59">
        <v>39</v>
      </c>
      <c r="K59">
        <v>1</v>
      </c>
      <c r="L59">
        <v>-5350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>
        <v>0</v>
      </c>
      <c r="B60" t="s">
        <v>125</v>
      </c>
      <c r="C60" t="s">
        <v>20</v>
      </c>
      <c r="D60">
        <v>5539</v>
      </c>
      <c r="E60" t="s">
        <v>129</v>
      </c>
      <c r="F60">
        <v>0</v>
      </c>
      <c r="G60">
        <v>20200804</v>
      </c>
      <c r="H60" t="s">
        <v>128</v>
      </c>
      <c r="I60">
        <v>39</v>
      </c>
      <c r="K60">
        <v>1</v>
      </c>
      <c r="L60">
        <v>-5350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>
        <v>0</v>
      </c>
      <c r="B61" t="s">
        <v>125</v>
      </c>
      <c r="C61" t="s">
        <v>20</v>
      </c>
      <c r="D61">
        <v>7525</v>
      </c>
      <c r="E61" t="s">
        <v>16</v>
      </c>
      <c r="F61">
        <v>0</v>
      </c>
      <c r="G61">
        <v>20200803</v>
      </c>
      <c r="H61" t="s">
        <v>128</v>
      </c>
      <c r="I61">
        <v>39</v>
      </c>
      <c r="K61">
        <v>1</v>
      </c>
      <c r="L61">
        <v>-4066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>
        <v>0</v>
      </c>
      <c r="B62" t="s">
        <v>125</v>
      </c>
      <c r="C62" t="s">
        <v>20</v>
      </c>
      <c r="D62">
        <v>7525</v>
      </c>
      <c r="E62" t="s">
        <v>16</v>
      </c>
      <c r="F62">
        <v>0</v>
      </c>
      <c r="G62">
        <v>20200804</v>
      </c>
      <c r="H62" t="s">
        <v>128</v>
      </c>
      <c r="I62">
        <v>39</v>
      </c>
      <c r="K62">
        <v>1</v>
      </c>
      <c r="L62">
        <v>-1016.5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>
        <v>0</v>
      </c>
      <c r="B63" t="s">
        <v>125</v>
      </c>
      <c r="C63" t="s">
        <v>20</v>
      </c>
      <c r="D63">
        <v>7525</v>
      </c>
      <c r="E63" t="s">
        <v>16</v>
      </c>
      <c r="F63">
        <v>0</v>
      </c>
      <c r="G63">
        <v>20200804</v>
      </c>
      <c r="H63" t="s">
        <v>128</v>
      </c>
      <c r="I63">
        <v>39</v>
      </c>
      <c r="K63">
        <v>1</v>
      </c>
      <c r="L63">
        <v>-1016.5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>
        <v>0</v>
      </c>
      <c r="B64" t="s">
        <v>125</v>
      </c>
      <c r="C64" t="s">
        <v>20</v>
      </c>
      <c r="D64">
        <v>3339</v>
      </c>
      <c r="E64" t="s">
        <v>14</v>
      </c>
      <c r="F64">
        <v>0</v>
      </c>
      <c r="G64">
        <v>20200803</v>
      </c>
      <c r="H64" t="s">
        <v>128</v>
      </c>
      <c r="I64">
        <v>39</v>
      </c>
      <c r="K64">
        <v>1</v>
      </c>
      <c r="L64">
        <v>-101.86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thickBot="1" x14ac:dyDescent="0.3">
      <c r="A65">
        <v>0</v>
      </c>
      <c r="B65" t="s">
        <v>125</v>
      </c>
      <c r="C65" t="s">
        <v>20</v>
      </c>
      <c r="D65">
        <v>3339</v>
      </c>
      <c r="E65" t="s">
        <v>14</v>
      </c>
      <c r="F65">
        <v>0</v>
      </c>
      <c r="G65">
        <v>20200804</v>
      </c>
      <c r="H65" t="s">
        <v>128</v>
      </c>
      <c r="I65">
        <v>39</v>
      </c>
      <c r="K65">
        <v>1</v>
      </c>
      <c r="L65">
        <v>-50.93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thickBot="1" x14ac:dyDescent="0.3">
      <c r="L66" s="62">
        <v>-5511824.79</v>
      </c>
    </row>
    <row r="67" spans="1:26" ht="15" customHeight="1" x14ac:dyDescent="0.2">
      <c r="A67">
        <v>0</v>
      </c>
      <c r="B67" t="s">
        <v>125</v>
      </c>
      <c r="C67" t="s">
        <v>20</v>
      </c>
      <c r="D67">
        <v>7891</v>
      </c>
      <c r="E67" t="s">
        <v>130</v>
      </c>
      <c r="F67">
        <v>0</v>
      </c>
      <c r="G67">
        <v>20200804</v>
      </c>
      <c r="H67" t="s">
        <v>128</v>
      </c>
      <c r="I67">
        <v>39</v>
      </c>
      <c r="J67" t="s">
        <v>131</v>
      </c>
      <c r="K67">
        <v>1</v>
      </c>
      <c r="L67">
        <v>70000</v>
      </c>
    </row>
    <row r="68" spans="1:26" ht="15" customHeight="1" x14ac:dyDescent="0.2">
      <c r="A68">
        <v>0</v>
      </c>
      <c r="B68" t="s">
        <v>132</v>
      </c>
      <c r="C68" t="s">
        <v>20</v>
      </c>
      <c r="D68">
        <v>4018</v>
      </c>
      <c r="E68" t="s">
        <v>133</v>
      </c>
      <c r="F68">
        <v>0</v>
      </c>
      <c r="G68">
        <v>20200804</v>
      </c>
      <c r="H68" t="s">
        <v>132</v>
      </c>
      <c r="I68">
        <v>66</v>
      </c>
      <c r="J68">
        <v>900392806</v>
      </c>
      <c r="K68">
        <v>1</v>
      </c>
      <c r="L68">
        <v>322805</v>
      </c>
    </row>
    <row r="69" spans="1:26" ht="15" customHeight="1" x14ac:dyDescent="0.2">
      <c r="A69">
        <v>0</v>
      </c>
      <c r="B69" t="s">
        <v>125</v>
      </c>
      <c r="C69" t="s">
        <v>20</v>
      </c>
      <c r="D69">
        <v>4014</v>
      </c>
      <c r="E69" t="s">
        <v>38</v>
      </c>
      <c r="F69">
        <v>0</v>
      </c>
      <c r="G69">
        <v>20200803</v>
      </c>
      <c r="H69" t="s">
        <v>134</v>
      </c>
      <c r="I69">
        <v>304</v>
      </c>
      <c r="J69">
        <v>8001496951</v>
      </c>
      <c r="K69">
        <v>1</v>
      </c>
      <c r="L69">
        <v>418683</v>
      </c>
    </row>
    <row r="70" spans="1:26" ht="15" customHeight="1" x14ac:dyDescent="0.2">
      <c r="A70">
        <v>0</v>
      </c>
      <c r="B70" t="s">
        <v>125</v>
      </c>
      <c r="C70" t="s">
        <v>20</v>
      </c>
      <c r="D70">
        <v>4013</v>
      </c>
      <c r="E70" t="s">
        <v>26</v>
      </c>
      <c r="F70">
        <v>0</v>
      </c>
      <c r="G70">
        <v>20200803</v>
      </c>
      <c r="H70" t="s">
        <v>135</v>
      </c>
      <c r="I70">
        <v>743</v>
      </c>
      <c r="J70">
        <v>79367842</v>
      </c>
      <c r="K70">
        <v>1</v>
      </c>
      <c r="L70">
        <v>550000</v>
      </c>
    </row>
    <row r="71" spans="1:26" ht="15" customHeight="1" x14ac:dyDescent="0.2">
      <c r="A71">
        <v>0</v>
      </c>
      <c r="B71" t="s">
        <v>125</v>
      </c>
      <c r="C71" t="s">
        <v>20</v>
      </c>
      <c r="D71">
        <v>8161</v>
      </c>
      <c r="E71" t="s">
        <v>136</v>
      </c>
      <c r="F71">
        <v>0</v>
      </c>
      <c r="G71">
        <v>20200803</v>
      </c>
      <c r="H71" t="s">
        <v>128</v>
      </c>
      <c r="I71">
        <v>39</v>
      </c>
      <c r="J71" t="s">
        <v>137</v>
      </c>
      <c r="K71">
        <v>1</v>
      </c>
      <c r="L71">
        <v>698990</v>
      </c>
    </row>
    <row r="72" spans="1:26" ht="15" customHeight="1" x14ac:dyDescent="0.2">
      <c r="A72">
        <v>0</v>
      </c>
      <c r="B72" t="s">
        <v>125</v>
      </c>
      <c r="C72" t="s">
        <v>20</v>
      </c>
      <c r="D72">
        <v>4160</v>
      </c>
      <c r="E72" t="s">
        <v>22</v>
      </c>
      <c r="F72">
        <v>0</v>
      </c>
      <c r="G72">
        <v>20200804</v>
      </c>
      <c r="H72" t="s">
        <v>128</v>
      </c>
      <c r="I72">
        <v>39</v>
      </c>
      <c r="J72">
        <v>3065621621</v>
      </c>
      <c r="K72">
        <v>1</v>
      </c>
      <c r="L72">
        <v>1000000</v>
      </c>
    </row>
    <row r="73" spans="1:26" ht="15" customHeight="1" x14ac:dyDescent="0.2">
      <c r="A73">
        <v>0</v>
      </c>
      <c r="B73" t="s">
        <v>125</v>
      </c>
      <c r="C73" t="s">
        <v>20</v>
      </c>
      <c r="D73">
        <v>8142</v>
      </c>
      <c r="E73" t="s">
        <v>138</v>
      </c>
      <c r="F73">
        <v>0</v>
      </c>
      <c r="G73">
        <v>20200804</v>
      </c>
      <c r="H73" t="s">
        <v>128</v>
      </c>
      <c r="I73">
        <v>39</v>
      </c>
      <c r="J73">
        <v>8600292375</v>
      </c>
      <c r="K73">
        <v>1</v>
      </c>
      <c r="L73">
        <v>1898248</v>
      </c>
    </row>
    <row r="74" spans="1:26" ht="15" customHeight="1" x14ac:dyDescent="0.2">
      <c r="A74">
        <v>0</v>
      </c>
      <c r="B74" t="s">
        <v>125</v>
      </c>
      <c r="C74" t="s">
        <v>20</v>
      </c>
      <c r="D74">
        <v>4160</v>
      </c>
      <c r="E74" t="s">
        <v>22</v>
      </c>
      <c r="F74">
        <v>0</v>
      </c>
      <c r="G74">
        <v>20200801</v>
      </c>
      <c r="H74" t="s">
        <v>128</v>
      </c>
      <c r="I74">
        <v>39</v>
      </c>
      <c r="J74">
        <v>17488876287</v>
      </c>
      <c r="K74">
        <v>1</v>
      </c>
      <c r="L74">
        <v>2000000</v>
      </c>
    </row>
    <row r="75" spans="1:26" ht="15" customHeight="1" x14ac:dyDescent="0.2">
      <c r="A75">
        <v>0</v>
      </c>
      <c r="B75" t="s">
        <v>125</v>
      </c>
      <c r="C75" t="s">
        <v>20</v>
      </c>
      <c r="D75">
        <v>4160</v>
      </c>
      <c r="E75" t="s">
        <v>22</v>
      </c>
      <c r="F75">
        <v>0</v>
      </c>
      <c r="G75">
        <v>20200801</v>
      </c>
      <c r="H75" t="s">
        <v>128</v>
      </c>
      <c r="I75">
        <v>39</v>
      </c>
      <c r="J75">
        <v>3065621621</v>
      </c>
      <c r="K75">
        <v>1</v>
      </c>
      <c r="L75">
        <v>2400000</v>
      </c>
    </row>
    <row r="76" spans="1:26" ht="15" customHeight="1" x14ac:dyDescent="0.2">
      <c r="A76">
        <v>0</v>
      </c>
      <c r="B76" t="s">
        <v>125</v>
      </c>
      <c r="C76" t="s">
        <v>20</v>
      </c>
      <c r="D76">
        <v>4160</v>
      </c>
      <c r="E76" t="s">
        <v>22</v>
      </c>
      <c r="F76">
        <v>0</v>
      </c>
      <c r="G76">
        <v>20200804</v>
      </c>
      <c r="H76" t="s">
        <v>128</v>
      </c>
      <c r="I76">
        <v>39</v>
      </c>
      <c r="J76">
        <v>22930538829</v>
      </c>
      <c r="K76">
        <v>1</v>
      </c>
      <c r="L76">
        <v>3000000</v>
      </c>
    </row>
    <row r="77" spans="1:26" ht="15" customHeight="1" x14ac:dyDescent="0.2">
      <c r="A77">
        <v>0</v>
      </c>
      <c r="B77" t="s">
        <v>125</v>
      </c>
      <c r="C77" t="s">
        <v>20</v>
      </c>
      <c r="D77">
        <v>4014</v>
      </c>
      <c r="E77" t="s">
        <v>38</v>
      </c>
      <c r="F77">
        <v>0</v>
      </c>
      <c r="G77">
        <v>20200804</v>
      </c>
      <c r="H77" t="s">
        <v>139</v>
      </c>
      <c r="I77">
        <v>299</v>
      </c>
      <c r="J77">
        <v>9001469504</v>
      </c>
      <c r="K77">
        <v>1</v>
      </c>
      <c r="L77">
        <v>5473473</v>
      </c>
    </row>
    <row r="78" spans="1:26" ht="15" customHeight="1" x14ac:dyDescent="0.2">
      <c r="A78">
        <v>0</v>
      </c>
      <c r="B78" t="s">
        <v>125</v>
      </c>
      <c r="C78" t="s">
        <v>20</v>
      </c>
      <c r="D78">
        <v>4014</v>
      </c>
      <c r="E78" t="s">
        <v>38</v>
      </c>
      <c r="F78">
        <v>0</v>
      </c>
      <c r="G78">
        <v>20200803</v>
      </c>
      <c r="H78" t="s">
        <v>140</v>
      </c>
      <c r="I78">
        <v>932</v>
      </c>
      <c r="J78" s="61" t="s">
        <v>141</v>
      </c>
      <c r="K78">
        <v>1</v>
      </c>
      <c r="L78">
        <v>59883292</v>
      </c>
    </row>
    <row r="79" spans="1:26" ht="15" customHeight="1" thickBot="1" x14ac:dyDescent="0.25">
      <c r="A79">
        <v>0</v>
      </c>
      <c r="B79" t="s">
        <v>125</v>
      </c>
      <c r="C79" t="s">
        <v>20</v>
      </c>
      <c r="D79">
        <v>4014</v>
      </c>
      <c r="E79" t="s">
        <v>38</v>
      </c>
      <c r="F79">
        <v>0</v>
      </c>
      <c r="G79">
        <v>20200803</v>
      </c>
      <c r="H79" t="s">
        <v>142</v>
      </c>
      <c r="I79">
        <v>682</v>
      </c>
      <c r="J79">
        <v>1113308095</v>
      </c>
      <c r="K79">
        <v>1</v>
      </c>
      <c r="L79">
        <v>600000000</v>
      </c>
    </row>
    <row r="80" spans="1:26" ht="15" customHeight="1" thickBot="1" x14ac:dyDescent="0.3">
      <c r="B80" t="s">
        <v>143</v>
      </c>
      <c r="C80" t="s">
        <v>3</v>
      </c>
      <c r="D80" t="s">
        <v>144</v>
      </c>
      <c r="E80" t="s">
        <v>145</v>
      </c>
      <c r="G80" t="s">
        <v>146</v>
      </c>
      <c r="H80" t="s">
        <v>147</v>
      </c>
      <c r="I80" t="s">
        <v>148</v>
      </c>
      <c r="J80" t="s">
        <v>149</v>
      </c>
      <c r="L80" s="62">
        <v>677715491</v>
      </c>
    </row>
    <row r="82" spans="1:12" ht="15" customHeight="1" x14ac:dyDescent="0.2">
      <c r="A82" s="59" t="s">
        <v>150</v>
      </c>
      <c r="B82" s="59"/>
    </row>
    <row r="84" spans="1:12" ht="15" customHeight="1" x14ac:dyDescent="0.2">
      <c r="A84">
        <v>0</v>
      </c>
      <c r="B84" t="s">
        <v>125</v>
      </c>
      <c r="C84" t="s">
        <v>12</v>
      </c>
      <c r="D84">
        <v>7552</v>
      </c>
      <c r="E84" t="s">
        <v>152</v>
      </c>
      <c r="F84">
        <v>0</v>
      </c>
      <c r="G84">
        <v>20200803</v>
      </c>
      <c r="H84" t="s">
        <v>128</v>
      </c>
      <c r="I84">
        <v>39</v>
      </c>
      <c r="J84" t="s">
        <v>153</v>
      </c>
      <c r="K84">
        <v>1</v>
      </c>
      <c r="L84">
        <v>-4166857</v>
      </c>
    </row>
    <row r="85" spans="1:12" ht="15" customHeight="1" x14ac:dyDescent="0.2">
      <c r="A85">
        <v>0</v>
      </c>
      <c r="B85" t="s">
        <v>125</v>
      </c>
      <c r="C85" t="s">
        <v>12</v>
      </c>
      <c r="D85">
        <v>815</v>
      </c>
      <c r="E85" t="s">
        <v>154</v>
      </c>
      <c r="F85">
        <v>0</v>
      </c>
      <c r="G85">
        <v>20200804</v>
      </c>
      <c r="H85" t="s">
        <v>128</v>
      </c>
      <c r="I85">
        <v>39</v>
      </c>
      <c r="K85">
        <v>1</v>
      </c>
      <c r="L85">
        <v>-89461.35</v>
      </c>
    </row>
    <row r="86" spans="1:12" ht="15" customHeight="1" x14ac:dyDescent="0.2">
      <c r="A86">
        <v>0</v>
      </c>
      <c r="B86" t="s">
        <v>125</v>
      </c>
      <c r="C86" t="s">
        <v>12</v>
      </c>
      <c r="D86">
        <v>1340</v>
      </c>
      <c r="E86" t="s">
        <v>40</v>
      </c>
      <c r="F86">
        <v>0</v>
      </c>
      <c r="G86">
        <v>20200804</v>
      </c>
      <c r="H86" t="s">
        <v>128</v>
      </c>
      <c r="I86">
        <v>39</v>
      </c>
      <c r="K86">
        <v>1</v>
      </c>
      <c r="L86">
        <v>-84550</v>
      </c>
    </row>
    <row r="87" spans="1:12" ht="15" customHeight="1" x14ac:dyDescent="0.2">
      <c r="A87">
        <v>0</v>
      </c>
      <c r="B87" t="s">
        <v>125</v>
      </c>
      <c r="C87" t="s">
        <v>12</v>
      </c>
      <c r="D87">
        <v>815</v>
      </c>
      <c r="E87" t="s">
        <v>154</v>
      </c>
      <c r="F87">
        <v>0</v>
      </c>
      <c r="G87">
        <v>20200803</v>
      </c>
      <c r="H87" t="s">
        <v>128</v>
      </c>
      <c r="I87">
        <v>39</v>
      </c>
      <c r="K87">
        <v>1</v>
      </c>
      <c r="L87">
        <v>-72653.460000000006</v>
      </c>
    </row>
    <row r="88" spans="1:12" ht="15" customHeight="1" x14ac:dyDescent="0.2">
      <c r="A88">
        <v>0</v>
      </c>
      <c r="B88" t="s">
        <v>125</v>
      </c>
      <c r="C88" t="s">
        <v>12</v>
      </c>
      <c r="D88">
        <v>1340</v>
      </c>
      <c r="E88" t="s">
        <v>40</v>
      </c>
      <c r="F88">
        <v>0</v>
      </c>
      <c r="G88">
        <v>20200804</v>
      </c>
      <c r="H88" t="s">
        <v>128</v>
      </c>
      <c r="I88">
        <v>39</v>
      </c>
      <c r="K88">
        <v>1</v>
      </c>
      <c r="L88">
        <v>-66750</v>
      </c>
    </row>
    <row r="89" spans="1:12" ht="15" customHeight="1" x14ac:dyDescent="0.2">
      <c r="A89">
        <v>0</v>
      </c>
      <c r="B89" t="s">
        <v>125</v>
      </c>
      <c r="C89" t="s">
        <v>12</v>
      </c>
      <c r="D89">
        <v>1340</v>
      </c>
      <c r="E89" t="s">
        <v>40</v>
      </c>
      <c r="F89">
        <v>0</v>
      </c>
      <c r="G89">
        <v>20200803</v>
      </c>
      <c r="H89" t="s">
        <v>128</v>
      </c>
      <c r="I89">
        <v>39</v>
      </c>
      <c r="K89">
        <v>1</v>
      </c>
      <c r="L89">
        <v>-40050</v>
      </c>
    </row>
    <row r="90" spans="1:12" ht="15" customHeight="1" x14ac:dyDescent="0.2">
      <c r="A90">
        <v>0</v>
      </c>
      <c r="B90" t="s">
        <v>125</v>
      </c>
      <c r="C90" t="s">
        <v>12</v>
      </c>
      <c r="D90">
        <v>7181</v>
      </c>
      <c r="E90" t="s">
        <v>155</v>
      </c>
      <c r="F90">
        <v>0</v>
      </c>
      <c r="G90">
        <v>20200801</v>
      </c>
      <c r="H90" t="s">
        <v>128</v>
      </c>
      <c r="I90">
        <v>39</v>
      </c>
      <c r="K90">
        <v>1</v>
      </c>
      <c r="L90">
        <v>-37600</v>
      </c>
    </row>
    <row r="91" spans="1:12" ht="15" customHeight="1" x14ac:dyDescent="0.2">
      <c r="A91">
        <v>0</v>
      </c>
      <c r="B91" t="s">
        <v>125</v>
      </c>
      <c r="C91" t="s">
        <v>12</v>
      </c>
      <c r="D91">
        <v>7181</v>
      </c>
      <c r="E91" t="s">
        <v>155</v>
      </c>
      <c r="F91">
        <v>0</v>
      </c>
      <c r="G91">
        <v>20200803</v>
      </c>
      <c r="H91" t="s">
        <v>128</v>
      </c>
      <c r="I91">
        <v>39</v>
      </c>
      <c r="K91">
        <v>1</v>
      </c>
      <c r="L91">
        <v>-37600</v>
      </c>
    </row>
    <row r="92" spans="1:12" ht="15" customHeight="1" x14ac:dyDescent="0.2">
      <c r="A92">
        <v>0</v>
      </c>
      <c r="B92" t="s">
        <v>125</v>
      </c>
      <c r="C92" t="s">
        <v>12</v>
      </c>
      <c r="D92">
        <v>7181</v>
      </c>
      <c r="E92" t="s">
        <v>155</v>
      </c>
      <c r="F92">
        <v>0</v>
      </c>
      <c r="G92">
        <v>20200802</v>
      </c>
      <c r="H92" t="s">
        <v>128</v>
      </c>
      <c r="I92">
        <v>39</v>
      </c>
      <c r="K92">
        <v>1</v>
      </c>
      <c r="L92">
        <v>-32900</v>
      </c>
    </row>
    <row r="93" spans="1:12" ht="15" customHeight="1" x14ac:dyDescent="0.2">
      <c r="A93">
        <v>0</v>
      </c>
      <c r="B93" t="s">
        <v>125</v>
      </c>
      <c r="C93" t="s">
        <v>12</v>
      </c>
      <c r="D93">
        <v>7181</v>
      </c>
      <c r="E93" t="s">
        <v>155</v>
      </c>
      <c r="F93">
        <v>0</v>
      </c>
      <c r="G93">
        <v>20200804</v>
      </c>
      <c r="H93" t="s">
        <v>128</v>
      </c>
      <c r="I93">
        <v>39</v>
      </c>
      <c r="K93">
        <v>1</v>
      </c>
      <c r="L93">
        <v>-32900</v>
      </c>
    </row>
    <row r="94" spans="1:12" ht="15" customHeight="1" x14ac:dyDescent="0.2">
      <c r="A94">
        <v>0</v>
      </c>
      <c r="B94" t="s">
        <v>125</v>
      </c>
      <c r="C94" t="s">
        <v>12</v>
      </c>
      <c r="D94">
        <v>815</v>
      </c>
      <c r="E94" t="s">
        <v>154</v>
      </c>
      <c r="F94">
        <v>0</v>
      </c>
      <c r="G94">
        <v>20200801</v>
      </c>
      <c r="H94" t="s">
        <v>128</v>
      </c>
      <c r="I94">
        <v>39</v>
      </c>
      <c r="K94">
        <v>1</v>
      </c>
      <c r="L94">
        <v>-28193.88</v>
      </c>
    </row>
    <row r="95" spans="1:12" ht="15" customHeight="1" x14ac:dyDescent="0.2">
      <c r="A95">
        <v>0</v>
      </c>
      <c r="B95" t="s">
        <v>125</v>
      </c>
      <c r="C95" t="s">
        <v>12</v>
      </c>
      <c r="D95">
        <v>1340</v>
      </c>
      <c r="E95" t="s">
        <v>40</v>
      </c>
      <c r="F95">
        <v>0</v>
      </c>
      <c r="G95">
        <v>20200803</v>
      </c>
      <c r="H95" t="s">
        <v>128</v>
      </c>
      <c r="I95">
        <v>39</v>
      </c>
      <c r="K95">
        <v>1</v>
      </c>
      <c r="L95">
        <v>-26700</v>
      </c>
    </row>
    <row r="96" spans="1:12" ht="15" customHeight="1" x14ac:dyDescent="0.2">
      <c r="A96">
        <v>0</v>
      </c>
      <c r="B96" t="s">
        <v>125</v>
      </c>
      <c r="C96" t="s">
        <v>12</v>
      </c>
      <c r="D96">
        <v>3339</v>
      </c>
      <c r="E96" t="s">
        <v>14</v>
      </c>
      <c r="F96">
        <v>0</v>
      </c>
      <c r="G96">
        <v>20200803</v>
      </c>
      <c r="H96" t="s">
        <v>128</v>
      </c>
      <c r="I96">
        <v>39</v>
      </c>
      <c r="K96">
        <v>1</v>
      </c>
      <c r="L96">
        <v>-17571.34</v>
      </c>
    </row>
    <row r="97" spans="1:12" ht="15" customHeight="1" x14ac:dyDescent="0.2">
      <c r="A97">
        <v>0</v>
      </c>
      <c r="B97" t="s">
        <v>125</v>
      </c>
      <c r="C97" t="s">
        <v>12</v>
      </c>
      <c r="D97">
        <v>823</v>
      </c>
      <c r="E97" t="s">
        <v>17</v>
      </c>
      <c r="F97">
        <v>0</v>
      </c>
      <c r="G97">
        <v>20200804</v>
      </c>
      <c r="H97" t="s">
        <v>128</v>
      </c>
      <c r="I97">
        <v>39</v>
      </c>
      <c r="K97">
        <v>1</v>
      </c>
      <c r="L97">
        <v>-16996.650000000001</v>
      </c>
    </row>
    <row r="98" spans="1:12" ht="15" customHeight="1" x14ac:dyDescent="0.2">
      <c r="A98">
        <v>0</v>
      </c>
      <c r="B98" t="s">
        <v>125</v>
      </c>
      <c r="C98" t="s">
        <v>12</v>
      </c>
      <c r="D98">
        <v>7525</v>
      </c>
      <c r="E98" t="s">
        <v>16</v>
      </c>
      <c r="F98">
        <v>0</v>
      </c>
      <c r="G98">
        <v>20200804</v>
      </c>
      <c r="H98" t="s">
        <v>128</v>
      </c>
      <c r="I98">
        <v>39</v>
      </c>
      <c r="K98">
        <v>1</v>
      </c>
      <c r="L98">
        <v>-16064.5</v>
      </c>
    </row>
    <row r="99" spans="1:12" ht="15" customHeight="1" x14ac:dyDescent="0.2">
      <c r="A99">
        <v>0</v>
      </c>
      <c r="B99" t="s">
        <v>125</v>
      </c>
      <c r="C99" t="s">
        <v>12</v>
      </c>
      <c r="D99">
        <v>823</v>
      </c>
      <c r="E99" t="s">
        <v>17</v>
      </c>
      <c r="F99">
        <v>0</v>
      </c>
      <c r="G99">
        <v>20200803</v>
      </c>
      <c r="H99" t="s">
        <v>128</v>
      </c>
      <c r="I99">
        <v>39</v>
      </c>
      <c r="K99">
        <v>1</v>
      </c>
      <c r="L99">
        <v>-13803.34</v>
      </c>
    </row>
    <row r="100" spans="1:12" ht="15" customHeight="1" x14ac:dyDescent="0.2">
      <c r="A100">
        <v>0</v>
      </c>
      <c r="B100" t="s">
        <v>125</v>
      </c>
      <c r="C100" t="s">
        <v>12</v>
      </c>
      <c r="D100">
        <v>7525</v>
      </c>
      <c r="E100" t="s">
        <v>16</v>
      </c>
      <c r="F100">
        <v>0</v>
      </c>
      <c r="G100">
        <v>20200804</v>
      </c>
      <c r="H100" t="s">
        <v>128</v>
      </c>
      <c r="I100">
        <v>39</v>
      </c>
      <c r="K100">
        <v>1</v>
      </c>
      <c r="L100">
        <v>-12682.5</v>
      </c>
    </row>
    <row r="101" spans="1:12" ht="15" customHeight="1" x14ac:dyDescent="0.2">
      <c r="A101">
        <v>0</v>
      </c>
      <c r="B101" t="s">
        <v>125</v>
      </c>
      <c r="C101" t="s">
        <v>12</v>
      </c>
      <c r="D101">
        <v>7181</v>
      </c>
      <c r="E101" t="s">
        <v>155</v>
      </c>
      <c r="F101">
        <v>0</v>
      </c>
      <c r="G101">
        <v>20200803</v>
      </c>
      <c r="H101" t="s">
        <v>128</v>
      </c>
      <c r="I101">
        <v>39</v>
      </c>
      <c r="K101">
        <v>1</v>
      </c>
      <c r="L101">
        <v>-11750</v>
      </c>
    </row>
    <row r="102" spans="1:12" ht="15" customHeight="1" x14ac:dyDescent="0.2">
      <c r="A102">
        <v>0</v>
      </c>
      <c r="B102" t="s">
        <v>125</v>
      </c>
      <c r="C102" t="s">
        <v>12</v>
      </c>
      <c r="D102">
        <v>7181</v>
      </c>
      <c r="E102" t="s">
        <v>155</v>
      </c>
      <c r="F102">
        <v>0</v>
      </c>
      <c r="G102">
        <v>20200804</v>
      </c>
      <c r="H102" t="s">
        <v>128</v>
      </c>
      <c r="I102">
        <v>39</v>
      </c>
      <c r="K102">
        <v>1</v>
      </c>
      <c r="L102">
        <v>-9400</v>
      </c>
    </row>
    <row r="103" spans="1:12" ht="15" customHeight="1" x14ac:dyDescent="0.2">
      <c r="A103">
        <v>0</v>
      </c>
      <c r="B103" t="s">
        <v>125</v>
      </c>
      <c r="C103" t="s">
        <v>12</v>
      </c>
      <c r="D103">
        <v>7525</v>
      </c>
      <c r="E103" t="s">
        <v>16</v>
      </c>
      <c r="F103">
        <v>0</v>
      </c>
      <c r="G103">
        <v>20200803</v>
      </c>
      <c r="H103" t="s">
        <v>128</v>
      </c>
      <c r="I103">
        <v>39</v>
      </c>
      <c r="K103">
        <v>1</v>
      </c>
      <c r="L103">
        <v>-7609.5</v>
      </c>
    </row>
    <row r="104" spans="1:12" ht="15" customHeight="1" x14ac:dyDescent="0.2">
      <c r="A104">
        <v>0</v>
      </c>
      <c r="B104" t="s">
        <v>125</v>
      </c>
      <c r="C104" t="s">
        <v>12</v>
      </c>
      <c r="D104">
        <v>9333</v>
      </c>
      <c r="E104" t="s">
        <v>15</v>
      </c>
      <c r="F104">
        <v>0</v>
      </c>
      <c r="G104">
        <v>20200801</v>
      </c>
      <c r="H104" t="s">
        <v>128</v>
      </c>
      <c r="I104">
        <v>39</v>
      </c>
      <c r="K104">
        <v>1</v>
      </c>
      <c r="L104">
        <v>-7144</v>
      </c>
    </row>
    <row r="105" spans="1:12" ht="15" customHeight="1" x14ac:dyDescent="0.2">
      <c r="A105">
        <v>0</v>
      </c>
      <c r="B105" t="s">
        <v>125</v>
      </c>
      <c r="C105" t="s">
        <v>12</v>
      </c>
      <c r="D105">
        <v>9333</v>
      </c>
      <c r="E105" t="s">
        <v>15</v>
      </c>
      <c r="F105">
        <v>0</v>
      </c>
      <c r="G105">
        <v>20200803</v>
      </c>
      <c r="H105" t="s">
        <v>128</v>
      </c>
      <c r="I105">
        <v>39</v>
      </c>
      <c r="K105">
        <v>1</v>
      </c>
      <c r="L105">
        <v>-7144</v>
      </c>
    </row>
    <row r="106" spans="1:12" ht="15" customHeight="1" x14ac:dyDescent="0.2">
      <c r="A106">
        <v>0</v>
      </c>
      <c r="B106" t="s">
        <v>125</v>
      </c>
      <c r="C106" t="s">
        <v>12</v>
      </c>
      <c r="D106">
        <v>9333</v>
      </c>
      <c r="E106" t="s">
        <v>15</v>
      </c>
      <c r="F106">
        <v>0</v>
      </c>
      <c r="G106">
        <v>20200802</v>
      </c>
      <c r="H106" t="s">
        <v>128</v>
      </c>
      <c r="I106">
        <v>39</v>
      </c>
      <c r="K106">
        <v>1</v>
      </c>
      <c r="L106">
        <v>-6251</v>
      </c>
    </row>
    <row r="107" spans="1:12" ht="15" customHeight="1" x14ac:dyDescent="0.2">
      <c r="A107">
        <v>0</v>
      </c>
      <c r="B107" t="s">
        <v>125</v>
      </c>
      <c r="C107" t="s">
        <v>12</v>
      </c>
      <c r="D107">
        <v>9333</v>
      </c>
      <c r="E107" t="s">
        <v>15</v>
      </c>
      <c r="F107">
        <v>0</v>
      </c>
      <c r="G107">
        <v>20200804</v>
      </c>
      <c r="H107" t="s">
        <v>128</v>
      </c>
      <c r="I107">
        <v>39</v>
      </c>
      <c r="K107">
        <v>1</v>
      </c>
      <c r="L107">
        <v>-6251</v>
      </c>
    </row>
    <row r="108" spans="1:12" ht="15" customHeight="1" x14ac:dyDescent="0.2">
      <c r="A108">
        <v>0</v>
      </c>
      <c r="B108" t="s">
        <v>125</v>
      </c>
      <c r="C108" t="s">
        <v>12</v>
      </c>
      <c r="D108">
        <v>823</v>
      </c>
      <c r="E108" t="s">
        <v>17</v>
      </c>
      <c r="F108">
        <v>0</v>
      </c>
      <c r="G108">
        <v>20200801</v>
      </c>
      <c r="H108" t="s">
        <v>128</v>
      </c>
      <c r="I108">
        <v>39</v>
      </c>
      <c r="K108">
        <v>1</v>
      </c>
      <c r="L108">
        <v>-5356.52</v>
      </c>
    </row>
    <row r="109" spans="1:12" ht="15" customHeight="1" x14ac:dyDescent="0.2">
      <c r="A109">
        <v>0</v>
      </c>
      <c r="B109" t="s">
        <v>125</v>
      </c>
      <c r="C109" t="s">
        <v>12</v>
      </c>
      <c r="D109">
        <v>7525</v>
      </c>
      <c r="E109" t="s">
        <v>16</v>
      </c>
      <c r="F109">
        <v>0</v>
      </c>
      <c r="G109">
        <v>20200803</v>
      </c>
      <c r="H109" t="s">
        <v>128</v>
      </c>
      <c r="I109">
        <v>39</v>
      </c>
      <c r="K109">
        <v>1</v>
      </c>
      <c r="L109">
        <v>-5073</v>
      </c>
    </row>
    <row r="110" spans="1:12" ht="15" customHeight="1" x14ac:dyDescent="0.2">
      <c r="A110">
        <v>0</v>
      </c>
      <c r="B110" t="s">
        <v>125</v>
      </c>
      <c r="C110" t="s">
        <v>12</v>
      </c>
      <c r="D110">
        <v>815</v>
      </c>
      <c r="E110" t="s">
        <v>154</v>
      </c>
      <c r="F110">
        <v>0</v>
      </c>
      <c r="G110">
        <v>20200802</v>
      </c>
      <c r="H110" t="s">
        <v>128</v>
      </c>
      <c r="I110">
        <v>39</v>
      </c>
      <c r="K110">
        <v>1</v>
      </c>
      <c r="L110">
        <v>-3795.33</v>
      </c>
    </row>
    <row r="111" spans="1:12" ht="15" customHeight="1" x14ac:dyDescent="0.2">
      <c r="A111">
        <v>0</v>
      </c>
      <c r="B111" t="s">
        <v>125</v>
      </c>
      <c r="C111" t="s">
        <v>12</v>
      </c>
      <c r="D111">
        <v>7181</v>
      </c>
      <c r="E111" t="s">
        <v>155</v>
      </c>
      <c r="F111">
        <v>0</v>
      </c>
      <c r="G111">
        <v>20200801</v>
      </c>
      <c r="H111" t="s">
        <v>128</v>
      </c>
      <c r="I111">
        <v>39</v>
      </c>
      <c r="K111">
        <v>1</v>
      </c>
      <c r="L111">
        <v>-2350</v>
      </c>
    </row>
    <row r="112" spans="1:12" ht="15" customHeight="1" x14ac:dyDescent="0.2">
      <c r="A112">
        <v>0</v>
      </c>
      <c r="B112" t="s">
        <v>125</v>
      </c>
      <c r="C112" t="s">
        <v>12</v>
      </c>
      <c r="D112">
        <v>7181</v>
      </c>
      <c r="E112" t="s">
        <v>155</v>
      </c>
      <c r="F112">
        <v>0</v>
      </c>
      <c r="G112">
        <v>20200802</v>
      </c>
      <c r="H112" t="s">
        <v>128</v>
      </c>
      <c r="I112">
        <v>39</v>
      </c>
      <c r="K112">
        <v>1</v>
      </c>
      <c r="L112">
        <v>-2350</v>
      </c>
    </row>
    <row r="113" spans="1:12" ht="15" customHeight="1" x14ac:dyDescent="0.2">
      <c r="A113">
        <v>0</v>
      </c>
      <c r="B113" t="s">
        <v>125</v>
      </c>
      <c r="C113" t="s">
        <v>12</v>
      </c>
      <c r="D113">
        <v>9333</v>
      </c>
      <c r="E113" t="s">
        <v>15</v>
      </c>
      <c r="F113">
        <v>0</v>
      </c>
      <c r="G113">
        <v>20200803</v>
      </c>
      <c r="H113" t="s">
        <v>128</v>
      </c>
      <c r="I113">
        <v>39</v>
      </c>
      <c r="K113">
        <v>1</v>
      </c>
      <c r="L113">
        <v>-2232.5</v>
      </c>
    </row>
    <row r="114" spans="1:12" ht="15" customHeight="1" x14ac:dyDescent="0.2">
      <c r="A114">
        <v>0</v>
      </c>
      <c r="B114" t="s">
        <v>125</v>
      </c>
      <c r="C114" t="s">
        <v>12</v>
      </c>
      <c r="D114">
        <v>9333</v>
      </c>
      <c r="E114" t="s">
        <v>15</v>
      </c>
      <c r="F114">
        <v>0</v>
      </c>
      <c r="G114">
        <v>20200804</v>
      </c>
      <c r="H114" t="s">
        <v>128</v>
      </c>
      <c r="I114">
        <v>39</v>
      </c>
      <c r="K114">
        <v>1</v>
      </c>
      <c r="L114">
        <v>-1786</v>
      </c>
    </row>
    <row r="115" spans="1:12" ht="15" customHeight="1" x14ac:dyDescent="0.2">
      <c r="A115">
        <v>0</v>
      </c>
      <c r="B115" t="s">
        <v>125</v>
      </c>
      <c r="C115" t="s">
        <v>12</v>
      </c>
      <c r="D115">
        <v>3339</v>
      </c>
      <c r="E115" t="s">
        <v>14</v>
      </c>
      <c r="F115">
        <v>0</v>
      </c>
      <c r="G115">
        <v>20200804</v>
      </c>
      <c r="H115" t="s">
        <v>128</v>
      </c>
      <c r="I115">
        <v>39</v>
      </c>
      <c r="K115">
        <v>1</v>
      </c>
      <c r="L115">
        <v>-1352.81</v>
      </c>
    </row>
    <row r="116" spans="1:12" ht="15" customHeight="1" x14ac:dyDescent="0.2">
      <c r="A116">
        <v>0</v>
      </c>
      <c r="B116" t="s">
        <v>125</v>
      </c>
      <c r="C116" t="s">
        <v>12</v>
      </c>
      <c r="D116">
        <v>577</v>
      </c>
      <c r="E116" t="s">
        <v>156</v>
      </c>
      <c r="F116">
        <v>0</v>
      </c>
      <c r="G116">
        <v>20200803</v>
      </c>
      <c r="H116" t="s">
        <v>128</v>
      </c>
      <c r="I116">
        <v>39</v>
      </c>
      <c r="K116">
        <v>1</v>
      </c>
      <c r="L116">
        <v>-1144.94</v>
      </c>
    </row>
    <row r="117" spans="1:12" ht="15" customHeight="1" x14ac:dyDescent="0.2">
      <c r="A117">
        <v>0</v>
      </c>
      <c r="B117" t="s">
        <v>125</v>
      </c>
      <c r="C117" t="s">
        <v>12</v>
      </c>
      <c r="D117">
        <v>577</v>
      </c>
      <c r="E117" t="s">
        <v>156</v>
      </c>
      <c r="F117">
        <v>0</v>
      </c>
      <c r="G117">
        <v>20200804</v>
      </c>
      <c r="H117" t="s">
        <v>128</v>
      </c>
      <c r="I117">
        <v>39</v>
      </c>
      <c r="K117">
        <v>1</v>
      </c>
      <c r="L117">
        <v>-1144.94</v>
      </c>
    </row>
    <row r="118" spans="1:12" ht="15" customHeight="1" x14ac:dyDescent="0.2">
      <c r="A118">
        <v>0</v>
      </c>
      <c r="B118" t="s">
        <v>125</v>
      </c>
      <c r="C118" t="s">
        <v>12</v>
      </c>
      <c r="D118">
        <v>823</v>
      </c>
      <c r="E118" t="s">
        <v>17</v>
      </c>
      <c r="F118">
        <v>0</v>
      </c>
      <c r="G118">
        <v>20200802</v>
      </c>
      <c r="H118" t="s">
        <v>128</v>
      </c>
      <c r="I118">
        <v>39</v>
      </c>
      <c r="K118">
        <v>1</v>
      </c>
      <c r="L118">
        <v>-721.07</v>
      </c>
    </row>
    <row r="119" spans="1:12" ht="15" customHeight="1" x14ac:dyDescent="0.2">
      <c r="A119">
        <v>0</v>
      </c>
      <c r="B119" t="s">
        <v>125</v>
      </c>
      <c r="C119" t="s">
        <v>12</v>
      </c>
      <c r="D119">
        <v>9333</v>
      </c>
      <c r="E119" t="s">
        <v>15</v>
      </c>
      <c r="F119">
        <v>0</v>
      </c>
      <c r="G119">
        <v>20200801</v>
      </c>
      <c r="H119" t="s">
        <v>128</v>
      </c>
      <c r="I119">
        <v>39</v>
      </c>
      <c r="K119">
        <v>1</v>
      </c>
      <c r="L119">
        <v>-446.5</v>
      </c>
    </row>
    <row r="120" spans="1:12" ht="15" customHeight="1" x14ac:dyDescent="0.2">
      <c r="A120">
        <v>0</v>
      </c>
      <c r="B120" t="s">
        <v>125</v>
      </c>
      <c r="C120" t="s">
        <v>12</v>
      </c>
      <c r="D120">
        <v>9333</v>
      </c>
      <c r="E120" t="s">
        <v>15</v>
      </c>
      <c r="F120">
        <v>0</v>
      </c>
      <c r="G120">
        <v>20200802</v>
      </c>
      <c r="H120" t="s">
        <v>128</v>
      </c>
      <c r="I120">
        <v>39</v>
      </c>
      <c r="K120">
        <v>1</v>
      </c>
      <c r="L120">
        <v>-446.5</v>
      </c>
    </row>
    <row r="121" spans="1:12" ht="15" customHeight="1" x14ac:dyDescent="0.2">
      <c r="A121">
        <v>0</v>
      </c>
      <c r="B121" t="s">
        <v>125</v>
      </c>
      <c r="C121" t="s">
        <v>12</v>
      </c>
      <c r="D121">
        <v>3339</v>
      </c>
      <c r="E121" t="s">
        <v>14</v>
      </c>
      <c r="F121">
        <v>0</v>
      </c>
      <c r="G121">
        <v>20200801</v>
      </c>
      <c r="H121" t="s">
        <v>128</v>
      </c>
      <c r="I121">
        <v>39</v>
      </c>
      <c r="K121">
        <v>1</v>
      </c>
      <c r="L121">
        <v>-324.36</v>
      </c>
    </row>
    <row r="122" spans="1:12" ht="15" customHeight="1" x14ac:dyDescent="0.2">
      <c r="A122">
        <v>0</v>
      </c>
      <c r="B122" t="s">
        <v>125</v>
      </c>
      <c r="C122" t="s">
        <v>12</v>
      </c>
      <c r="D122">
        <v>601</v>
      </c>
      <c r="E122" t="s">
        <v>13</v>
      </c>
      <c r="F122">
        <v>0</v>
      </c>
      <c r="G122">
        <v>20200803</v>
      </c>
      <c r="H122" t="s">
        <v>128</v>
      </c>
      <c r="I122">
        <v>39</v>
      </c>
      <c r="K122">
        <v>1</v>
      </c>
      <c r="L122">
        <v>-217.53</v>
      </c>
    </row>
    <row r="123" spans="1:12" ht="15" customHeight="1" x14ac:dyDescent="0.2">
      <c r="A123">
        <v>0</v>
      </c>
      <c r="B123" t="s">
        <v>125</v>
      </c>
      <c r="C123" t="s">
        <v>12</v>
      </c>
      <c r="D123">
        <v>601</v>
      </c>
      <c r="E123" t="s">
        <v>13</v>
      </c>
      <c r="F123">
        <v>0</v>
      </c>
      <c r="G123">
        <v>20200804</v>
      </c>
      <c r="H123" t="s">
        <v>128</v>
      </c>
      <c r="I123">
        <v>39</v>
      </c>
      <c r="K123">
        <v>1</v>
      </c>
      <c r="L123">
        <v>-217.53</v>
      </c>
    </row>
    <row r="124" spans="1:12" ht="15" customHeight="1" thickBot="1" x14ac:dyDescent="0.25">
      <c r="A124">
        <v>0</v>
      </c>
      <c r="B124" t="s">
        <v>125</v>
      </c>
      <c r="C124" t="s">
        <v>12</v>
      </c>
      <c r="D124">
        <v>3339</v>
      </c>
      <c r="E124" t="s">
        <v>14</v>
      </c>
      <c r="F124">
        <v>0</v>
      </c>
      <c r="G124">
        <v>20200802</v>
      </c>
      <c r="H124" t="s">
        <v>128</v>
      </c>
      <c r="I124">
        <v>39</v>
      </c>
      <c r="K124">
        <v>1</v>
      </c>
      <c r="L124">
        <v>-185.85</v>
      </c>
    </row>
    <row r="125" spans="1:12" ht="15" customHeight="1" thickBot="1" x14ac:dyDescent="0.3">
      <c r="L125" s="62">
        <v>-4878028.9000000004</v>
      </c>
    </row>
    <row r="126" spans="1:12" ht="15" customHeight="1" x14ac:dyDescent="0.2">
      <c r="A126">
        <v>0</v>
      </c>
      <c r="B126" t="s">
        <v>125</v>
      </c>
      <c r="C126" t="s">
        <v>12</v>
      </c>
      <c r="D126">
        <v>6842</v>
      </c>
      <c r="E126" t="s">
        <v>157</v>
      </c>
      <c r="F126">
        <v>0</v>
      </c>
      <c r="G126">
        <v>20200801</v>
      </c>
      <c r="H126" t="s">
        <v>128</v>
      </c>
      <c r="I126">
        <v>39</v>
      </c>
      <c r="J126">
        <v>45467217</v>
      </c>
      <c r="K126">
        <v>1</v>
      </c>
      <c r="L126">
        <v>55</v>
      </c>
    </row>
    <row r="127" spans="1:12" ht="15" customHeight="1" x14ac:dyDescent="0.2">
      <c r="A127">
        <v>0</v>
      </c>
      <c r="B127" t="s">
        <v>158</v>
      </c>
      <c r="C127" t="s">
        <v>12</v>
      </c>
      <c r="D127">
        <v>4017</v>
      </c>
      <c r="E127" t="s">
        <v>29</v>
      </c>
      <c r="F127">
        <v>0</v>
      </c>
      <c r="G127">
        <v>20200804</v>
      </c>
      <c r="H127" t="s">
        <v>159</v>
      </c>
      <c r="I127">
        <v>625</v>
      </c>
      <c r="J127" s="61" t="s">
        <v>160</v>
      </c>
      <c r="K127">
        <v>1</v>
      </c>
      <c r="L127">
        <v>2269</v>
      </c>
    </row>
    <row r="128" spans="1:12" ht="15" customHeight="1" x14ac:dyDescent="0.2">
      <c r="A128">
        <v>0</v>
      </c>
      <c r="B128" t="s">
        <v>158</v>
      </c>
      <c r="C128" t="s">
        <v>12</v>
      </c>
      <c r="D128">
        <v>4013</v>
      </c>
      <c r="E128" t="s">
        <v>26</v>
      </c>
      <c r="F128">
        <v>0</v>
      </c>
      <c r="G128">
        <v>20200804</v>
      </c>
      <c r="H128" t="s">
        <v>161</v>
      </c>
      <c r="I128">
        <v>917</v>
      </c>
      <c r="J128" s="61" t="s">
        <v>162</v>
      </c>
      <c r="K128">
        <v>1</v>
      </c>
      <c r="L128">
        <v>6500</v>
      </c>
    </row>
    <row r="129" spans="1:12" ht="15" customHeight="1" x14ac:dyDescent="0.2">
      <c r="A129">
        <v>0</v>
      </c>
      <c r="B129" t="s">
        <v>158</v>
      </c>
      <c r="C129" t="s">
        <v>12</v>
      </c>
      <c r="D129">
        <v>4013</v>
      </c>
      <c r="E129" t="s">
        <v>26</v>
      </c>
      <c r="F129">
        <v>0</v>
      </c>
      <c r="G129">
        <v>20200801</v>
      </c>
      <c r="H129" t="s">
        <v>161</v>
      </c>
      <c r="I129">
        <v>917</v>
      </c>
      <c r="J129" s="61" t="s">
        <v>163</v>
      </c>
      <c r="K129">
        <v>1</v>
      </c>
      <c r="L129">
        <v>8000</v>
      </c>
    </row>
    <row r="130" spans="1:12" ht="15" customHeight="1" x14ac:dyDescent="0.2">
      <c r="A130">
        <v>0</v>
      </c>
      <c r="B130" t="s">
        <v>158</v>
      </c>
      <c r="C130" t="s">
        <v>12</v>
      </c>
      <c r="D130">
        <v>4013</v>
      </c>
      <c r="E130" t="s">
        <v>26</v>
      </c>
      <c r="F130">
        <v>0</v>
      </c>
      <c r="G130">
        <v>20200804</v>
      </c>
      <c r="H130" t="s">
        <v>161</v>
      </c>
      <c r="I130">
        <v>917</v>
      </c>
      <c r="J130" s="61" t="s">
        <v>164</v>
      </c>
      <c r="K130">
        <v>1</v>
      </c>
      <c r="L130">
        <v>8000</v>
      </c>
    </row>
    <row r="131" spans="1:12" ht="15" customHeight="1" x14ac:dyDescent="0.2">
      <c r="A131">
        <v>0</v>
      </c>
      <c r="B131" t="s">
        <v>158</v>
      </c>
      <c r="C131" t="s">
        <v>12</v>
      </c>
      <c r="D131">
        <v>4013</v>
      </c>
      <c r="E131" t="s">
        <v>26</v>
      </c>
      <c r="F131">
        <v>0</v>
      </c>
      <c r="G131">
        <v>20200803</v>
      </c>
      <c r="H131" t="s">
        <v>161</v>
      </c>
      <c r="I131">
        <v>917</v>
      </c>
      <c r="J131" s="61" t="s">
        <v>165</v>
      </c>
      <c r="K131">
        <v>1</v>
      </c>
      <c r="L131">
        <v>9000</v>
      </c>
    </row>
    <row r="132" spans="1:12" ht="15" customHeight="1" x14ac:dyDescent="0.2">
      <c r="A132">
        <v>0</v>
      </c>
      <c r="B132" t="s">
        <v>158</v>
      </c>
      <c r="C132" t="s">
        <v>12</v>
      </c>
      <c r="D132">
        <v>4013</v>
      </c>
      <c r="E132" t="s">
        <v>26</v>
      </c>
      <c r="F132">
        <v>0</v>
      </c>
      <c r="G132">
        <v>20200804</v>
      </c>
      <c r="H132" t="s">
        <v>161</v>
      </c>
      <c r="I132">
        <v>917</v>
      </c>
      <c r="J132" s="61" t="s">
        <v>166</v>
      </c>
      <c r="K132">
        <v>1</v>
      </c>
      <c r="L132">
        <v>9100</v>
      </c>
    </row>
    <row r="133" spans="1:12" ht="15" customHeight="1" x14ac:dyDescent="0.2">
      <c r="A133">
        <v>0</v>
      </c>
      <c r="B133" t="s">
        <v>125</v>
      </c>
      <c r="C133" t="s">
        <v>12</v>
      </c>
      <c r="D133">
        <v>6842</v>
      </c>
      <c r="E133" t="s">
        <v>157</v>
      </c>
      <c r="F133">
        <v>0</v>
      </c>
      <c r="G133">
        <v>20200804</v>
      </c>
      <c r="H133" t="s">
        <v>128</v>
      </c>
      <c r="I133">
        <v>39</v>
      </c>
      <c r="J133">
        <v>1052416384</v>
      </c>
      <c r="K133">
        <v>1</v>
      </c>
      <c r="L133">
        <v>9528</v>
      </c>
    </row>
    <row r="134" spans="1:12" ht="15" customHeight="1" x14ac:dyDescent="0.2">
      <c r="A134">
        <v>0</v>
      </c>
      <c r="B134" t="s">
        <v>158</v>
      </c>
      <c r="C134" t="s">
        <v>12</v>
      </c>
      <c r="D134">
        <v>4013</v>
      </c>
      <c r="E134" t="s">
        <v>26</v>
      </c>
      <c r="F134">
        <v>0</v>
      </c>
      <c r="G134">
        <v>20200801</v>
      </c>
      <c r="H134" t="s">
        <v>161</v>
      </c>
      <c r="I134">
        <v>917</v>
      </c>
      <c r="J134" s="61" t="s">
        <v>164</v>
      </c>
      <c r="K134">
        <v>1</v>
      </c>
      <c r="L134">
        <v>10000</v>
      </c>
    </row>
    <row r="135" spans="1:12" ht="15" customHeight="1" x14ac:dyDescent="0.2">
      <c r="A135">
        <v>0</v>
      </c>
      <c r="B135" t="s">
        <v>158</v>
      </c>
      <c r="C135" t="s">
        <v>12</v>
      </c>
      <c r="D135">
        <v>4013</v>
      </c>
      <c r="E135" t="s">
        <v>26</v>
      </c>
      <c r="F135">
        <v>0</v>
      </c>
      <c r="G135">
        <v>20200804</v>
      </c>
      <c r="H135" t="s">
        <v>161</v>
      </c>
      <c r="I135">
        <v>917</v>
      </c>
      <c r="J135" s="61" t="s">
        <v>166</v>
      </c>
      <c r="K135">
        <v>1</v>
      </c>
      <c r="L135">
        <v>11000</v>
      </c>
    </row>
    <row r="136" spans="1:12" ht="15" customHeight="1" x14ac:dyDescent="0.2">
      <c r="A136">
        <v>0</v>
      </c>
      <c r="B136" t="s">
        <v>158</v>
      </c>
      <c r="C136" t="s">
        <v>12</v>
      </c>
      <c r="D136">
        <v>4013</v>
      </c>
      <c r="E136" t="s">
        <v>26</v>
      </c>
      <c r="F136">
        <v>0</v>
      </c>
      <c r="G136">
        <v>20200801</v>
      </c>
      <c r="H136" t="s">
        <v>161</v>
      </c>
      <c r="I136">
        <v>917</v>
      </c>
      <c r="J136" s="61" t="s">
        <v>167</v>
      </c>
      <c r="K136">
        <v>1</v>
      </c>
      <c r="L136">
        <v>12090</v>
      </c>
    </row>
    <row r="137" spans="1:12" ht="15" customHeight="1" x14ac:dyDescent="0.2">
      <c r="A137">
        <v>0</v>
      </c>
      <c r="B137" t="s">
        <v>158</v>
      </c>
      <c r="C137" t="s">
        <v>12</v>
      </c>
      <c r="D137">
        <v>4013</v>
      </c>
      <c r="E137" t="s">
        <v>26</v>
      </c>
      <c r="F137">
        <v>0</v>
      </c>
      <c r="G137">
        <v>20200801</v>
      </c>
      <c r="H137" t="s">
        <v>161</v>
      </c>
      <c r="I137">
        <v>917</v>
      </c>
      <c r="J137" s="61" t="s">
        <v>167</v>
      </c>
      <c r="K137">
        <v>1</v>
      </c>
      <c r="L137">
        <v>12090</v>
      </c>
    </row>
    <row r="138" spans="1:12" ht="15" customHeight="1" x14ac:dyDescent="0.2">
      <c r="A138">
        <v>0</v>
      </c>
      <c r="B138" t="s">
        <v>158</v>
      </c>
      <c r="C138" t="s">
        <v>12</v>
      </c>
      <c r="D138">
        <v>4013</v>
      </c>
      <c r="E138" t="s">
        <v>26</v>
      </c>
      <c r="F138">
        <v>0</v>
      </c>
      <c r="G138">
        <v>20200803</v>
      </c>
      <c r="H138" t="s">
        <v>161</v>
      </c>
      <c r="I138">
        <v>917</v>
      </c>
      <c r="J138" s="61" t="s">
        <v>167</v>
      </c>
      <c r="K138">
        <v>1</v>
      </c>
      <c r="L138">
        <v>12090</v>
      </c>
    </row>
    <row r="139" spans="1:12" ht="15" customHeight="1" x14ac:dyDescent="0.2">
      <c r="A139">
        <v>0</v>
      </c>
      <c r="B139" t="s">
        <v>125</v>
      </c>
      <c r="C139" t="s">
        <v>12</v>
      </c>
      <c r="D139">
        <v>4013</v>
      </c>
      <c r="E139" t="s">
        <v>26</v>
      </c>
      <c r="F139">
        <v>0</v>
      </c>
      <c r="G139">
        <v>20200803</v>
      </c>
      <c r="H139" t="s">
        <v>168</v>
      </c>
      <c r="I139">
        <v>45</v>
      </c>
      <c r="J139" s="61" t="s">
        <v>167</v>
      </c>
      <c r="K139">
        <v>1</v>
      </c>
      <c r="L139">
        <v>12100</v>
      </c>
    </row>
    <row r="140" spans="1:12" ht="15" customHeight="1" x14ac:dyDescent="0.2">
      <c r="A140">
        <v>0</v>
      </c>
      <c r="B140" t="s">
        <v>158</v>
      </c>
      <c r="C140" t="s">
        <v>12</v>
      </c>
      <c r="D140">
        <v>4013</v>
      </c>
      <c r="E140" t="s">
        <v>26</v>
      </c>
      <c r="F140">
        <v>0</v>
      </c>
      <c r="G140">
        <v>20200804</v>
      </c>
      <c r="H140" t="s">
        <v>161</v>
      </c>
      <c r="I140">
        <v>917</v>
      </c>
      <c r="J140" s="61" t="s">
        <v>169</v>
      </c>
      <c r="K140">
        <v>1</v>
      </c>
      <c r="L140">
        <v>12100</v>
      </c>
    </row>
    <row r="141" spans="1:12" ht="15" customHeight="1" x14ac:dyDescent="0.2">
      <c r="A141">
        <v>0</v>
      </c>
      <c r="B141" t="s">
        <v>158</v>
      </c>
      <c r="C141" t="s">
        <v>12</v>
      </c>
      <c r="D141">
        <v>4013</v>
      </c>
      <c r="E141" t="s">
        <v>26</v>
      </c>
      <c r="F141">
        <v>0</v>
      </c>
      <c r="G141">
        <v>20200804</v>
      </c>
      <c r="H141" t="s">
        <v>161</v>
      </c>
      <c r="I141">
        <v>917</v>
      </c>
      <c r="J141" s="61" t="s">
        <v>170</v>
      </c>
      <c r="K141">
        <v>1</v>
      </c>
      <c r="L141">
        <v>12840</v>
      </c>
    </row>
    <row r="142" spans="1:12" ht="15" customHeight="1" x14ac:dyDescent="0.2">
      <c r="A142">
        <v>0</v>
      </c>
      <c r="B142" t="s">
        <v>125</v>
      </c>
      <c r="C142" t="s">
        <v>12</v>
      </c>
      <c r="D142">
        <v>6842</v>
      </c>
      <c r="E142" t="s">
        <v>157</v>
      </c>
      <c r="F142">
        <v>0</v>
      </c>
      <c r="G142">
        <v>20200801</v>
      </c>
      <c r="H142" t="s">
        <v>128</v>
      </c>
      <c r="I142">
        <v>39</v>
      </c>
      <c r="J142">
        <v>79329837</v>
      </c>
      <c r="K142">
        <v>1</v>
      </c>
      <c r="L142">
        <v>13000</v>
      </c>
    </row>
    <row r="143" spans="1:12" ht="15" customHeight="1" x14ac:dyDescent="0.2">
      <c r="A143">
        <v>0</v>
      </c>
      <c r="B143" t="s">
        <v>158</v>
      </c>
      <c r="C143" t="s">
        <v>12</v>
      </c>
      <c r="D143">
        <v>4013</v>
      </c>
      <c r="E143" t="s">
        <v>26</v>
      </c>
      <c r="F143">
        <v>0</v>
      </c>
      <c r="G143">
        <v>20200804</v>
      </c>
      <c r="H143" t="s">
        <v>161</v>
      </c>
      <c r="I143">
        <v>917</v>
      </c>
      <c r="J143" s="61" t="s">
        <v>167</v>
      </c>
      <c r="K143">
        <v>1</v>
      </c>
      <c r="L143">
        <v>13040</v>
      </c>
    </row>
    <row r="144" spans="1:12" ht="15" customHeight="1" x14ac:dyDescent="0.2">
      <c r="A144">
        <v>0</v>
      </c>
      <c r="B144" t="s">
        <v>158</v>
      </c>
      <c r="C144" t="s">
        <v>12</v>
      </c>
      <c r="D144">
        <v>4013</v>
      </c>
      <c r="E144" t="s">
        <v>26</v>
      </c>
      <c r="F144">
        <v>0</v>
      </c>
      <c r="G144">
        <v>20200803</v>
      </c>
      <c r="H144" t="s">
        <v>161</v>
      </c>
      <c r="I144">
        <v>917</v>
      </c>
      <c r="J144" s="61" t="s">
        <v>165</v>
      </c>
      <c r="K144">
        <v>1</v>
      </c>
      <c r="L144">
        <v>13500</v>
      </c>
    </row>
    <row r="145" spans="1:12" ht="15" customHeight="1" x14ac:dyDescent="0.2">
      <c r="A145">
        <v>0</v>
      </c>
      <c r="B145" t="s">
        <v>158</v>
      </c>
      <c r="C145" t="s">
        <v>12</v>
      </c>
      <c r="D145">
        <v>4013</v>
      </c>
      <c r="E145" t="s">
        <v>26</v>
      </c>
      <c r="F145">
        <v>0</v>
      </c>
      <c r="G145">
        <v>20200804</v>
      </c>
      <c r="H145" t="s">
        <v>161</v>
      </c>
      <c r="I145">
        <v>917</v>
      </c>
      <c r="J145" s="61" t="s">
        <v>165</v>
      </c>
      <c r="K145">
        <v>1</v>
      </c>
      <c r="L145">
        <v>13500</v>
      </c>
    </row>
    <row r="146" spans="1:12" ht="15" customHeight="1" x14ac:dyDescent="0.2">
      <c r="A146">
        <v>0</v>
      </c>
      <c r="B146" t="s">
        <v>158</v>
      </c>
      <c r="C146" t="s">
        <v>12</v>
      </c>
      <c r="D146">
        <v>4013</v>
      </c>
      <c r="E146" t="s">
        <v>26</v>
      </c>
      <c r="F146">
        <v>0</v>
      </c>
      <c r="G146">
        <v>20200804</v>
      </c>
      <c r="H146" t="s">
        <v>161</v>
      </c>
      <c r="I146">
        <v>917</v>
      </c>
      <c r="J146" s="61" t="s">
        <v>165</v>
      </c>
      <c r="K146">
        <v>1</v>
      </c>
      <c r="L146">
        <v>13500</v>
      </c>
    </row>
    <row r="147" spans="1:12" ht="15" customHeight="1" x14ac:dyDescent="0.2">
      <c r="A147">
        <v>0</v>
      </c>
      <c r="B147" t="s">
        <v>158</v>
      </c>
      <c r="C147" t="s">
        <v>12</v>
      </c>
      <c r="D147">
        <v>4013</v>
      </c>
      <c r="E147" t="s">
        <v>26</v>
      </c>
      <c r="F147">
        <v>0</v>
      </c>
      <c r="G147">
        <v>20200801</v>
      </c>
      <c r="H147" t="s">
        <v>161</v>
      </c>
      <c r="I147">
        <v>917</v>
      </c>
      <c r="J147" s="61" t="s">
        <v>171</v>
      </c>
      <c r="K147">
        <v>1</v>
      </c>
      <c r="L147">
        <v>14000</v>
      </c>
    </row>
    <row r="148" spans="1:12" ht="15" customHeight="1" x14ac:dyDescent="0.2">
      <c r="A148">
        <v>0</v>
      </c>
      <c r="B148" t="s">
        <v>158</v>
      </c>
      <c r="C148" t="s">
        <v>12</v>
      </c>
      <c r="D148">
        <v>4013</v>
      </c>
      <c r="E148" t="s">
        <v>26</v>
      </c>
      <c r="F148">
        <v>0</v>
      </c>
      <c r="G148">
        <v>20200804</v>
      </c>
      <c r="H148" t="s">
        <v>161</v>
      </c>
      <c r="I148">
        <v>917</v>
      </c>
      <c r="J148" s="61" t="s">
        <v>172</v>
      </c>
      <c r="K148">
        <v>1</v>
      </c>
      <c r="L148">
        <v>14728</v>
      </c>
    </row>
    <row r="149" spans="1:12" ht="15" customHeight="1" x14ac:dyDescent="0.2">
      <c r="A149">
        <v>0</v>
      </c>
      <c r="B149" t="s">
        <v>173</v>
      </c>
      <c r="C149" t="s">
        <v>12</v>
      </c>
      <c r="D149">
        <v>4017</v>
      </c>
      <c r="E149" t="s">
        <v>29</v>
      </c>
      <c r="F149">
        <v>0</v>
      </c>
      <c r="G149">
        <v>20200803</v>
      </c>
      <c r="H149" t="s">
        <v>173</v>
      </c>
      <c r="I149">
        <v>70</v>
      </c>
      <c r="J149" s="61" t="s">
        <v>174</v>
      </c>
      <c r="K149">
        <v>1</v>
      </c>
      <c r="L149">
        <v>15300</v>
      </c>
    </row>
    <row r="150" spans="1:12" ht="15" customHeight="1" x14ac:dyDescent="0.2">
      <c r="A150">
        <v>0</v>
      </c>
      <c r="B150" t="s">
        <v>125</v>
      </c>
      <c r="C150" t="s">
        <v>12</v>
      </c>
      <c r="D150">
        <v>6842</v>
      </c>
      <c r="E150" t="s">
        <v>157</v>
      </c>
      <c r="F150">
        <v>0</v>
      </c>
      <c r="G150">
        <v>20200802</v>
      </c>
      <c r="H150" t="s">
        <v>128</v>
      </c>
      <c r="I150">
        <v>39</v>
      </c>
      <c r="J150">
        <v>1091667285</v>
      </c>
      <c r="K150">
        <v>1</v>
      </c>
      <c r="L150">
        <v>15405.16</v>
      </c>
    </row>
    <row r="151" spans="1:12" ht="15" customHeight="1" x14ac:dyDescent="0.2">
      <c r="A151">
        <v>0</v>
      </c>
      <c r="B151" t="s">
        <v>158</v>
      </c>
      <c r="C151" t="s">
        <v>12</v>
      </c>
      <c r="D151">
        <v>4013</v>
      </c>
      <c r="E151" t="s">
        <v>26</v>
      </c>
      <c r="F151">
        <v>0</v>
      </c>
      <c r="G151">
        <v>20200801</v>
      </c>
      <c r="H151" t="s">
        <v>161</v>
      </c>
      <c r="I151">
        <v>917</v>
      </c>
      <c r="J151" s="61" t="s">
        <v>175</v>
      </c>
      <c r="K151">
        <v>1</v>
      </c>
      <c r="L151">
        <v>16606</v>
      </c>
    </row>
    <row r="152" spans="1:12" ht="15" customHeight="1" x14ac:dyDescent="0.2">
      <c r="A152">
        <v>0</v>
      </c>
      <c r="B152" t="s">
        <v>158</v>
      </c>
      <c r="C152" t="s">
        <v>12</v>
      </c>
      <c r="D152">
        <v>4013</v>
      </c>
      <c r="E152" t="s">
        <v>26</v>
      </c>
      <c r="F152">
        <v>0</v>
      </c>
      <c r="G152">
        <v>20200804</v>
      </c>
      <c r="H152" t="s">
        <v>161</v>
      </c>
      <c r="I152">
        <v>917</v>
      </c>
      <c r="J152" s="61" t="s">
        <v>165</v>
      </c>
      <c r="K152">
        <v>1</v>
      </c>
      <c r="L152">
        <v>18800</v>
      </c>
    </row>
    <row r="153" spans="1:12" ht="15" customHeight="1" x14ac:dyDescent="0.2">
      <c r="A153">
        <v>0</v>
      </c>
      <c r="B153" t="s">
        <v>158</v>
      </c>
      <c r="C153" t="s">
        <v>12</v>
      </c>
      <c r="D153">
        <v>4013</v>
      </c>
      <c r="E153" t="s">
        <v>26</v>
      </c>
      <c r="F153">
        <v>0</v>
      </c>
      <c r="G153">
        <v>20200803</v>
      </c>
      <c r="H153" t="s">
        <v>161</v>
      </c>
      <c r="I153">
        <v>917</v>
      </c>
      <c r="J153" s="61" t="s">
        <v>176</v>
      </c>
      <c r="K153">
        <v>1</v>
      </c>
      <c r="L153">
        <v>19000</v>
      </c>
    </row>
    <row r="154" spans="1:12" ht="15" customHeight="1" x14ac:dyDescent="0.2">
      <c r="A154">
        <v>0</v>
      </c>
      <c r="B154" t="s">
        <v>173</v>
      </c>
      <c r="C154" t="s">
        <v>12</v>
      </c>
      <c r="D154">
        <v>4017</v>
      </c>
      <c r="E154" t="s">
        <v>29</v>
      </c>
      <c r="F154">
        <v>0</v>
      </c>
      <c r="G154">
        <v>20200803</v>
      </c>
      <c r="H154" t="s">
        <v>173</v>
      </c>
      <c r="I154">
        <v>70</v>
      </c>
      <c r="J154" s="61" t="s">
        <v>174</v>
      </c>
      <c r="K154">
        <v>1</v>
      </c>
      <c r="L154">
        <v>20000</v>
      </c>
    </row>
    <row r="155" spans="1:12" ht="15" customHeight="1" x14ac:dyDescent="0.2">
      <c r="A155">
        <v>0</v>
      </c>
      <c r="B155" t="s">
        <v>125</v>
      </c>
      <c r="C155" t="s">
        <v>12</v>
      </c>
      <c r="D155">
        <v>4013</v>
      </c>
      <c r="E155" t="s">
        <v>26</v>
      </c>
      <c r="F155">
        <v>0</v>
      </c>
      <c r="G155">
        <v>20200804</v>
      </c>
      <c r="H155" t="s">
        <v>177</v>
      </c>
      <c r="I155">
        <v>839</v>
      </c>
      <c r="J155" s="61" t="s">
        <v>178</v>
      </c>
      <c r="K155">
        <v>1</v>
      </c>
      <c r="L155">
        <v>20000</v>
      </c>
    </row>
    <row r="156" spans="1:12" ht="15" customHeight="1" x14ac:dyDescent="0.2">
      <c r="A156">
        <v>0</v>
      </c>
      <c r="B156" t="s">
        <v>158</v>
      </c>
      <c r="C156" t="s">
        <v>12</v>
      </c>
      <c r="D156">
        <v>4013</v>
      </c>
      <c r="E156" t="s">
        <v>26</v>
      </c>
      <c r="F156">
        <v>0</v>
      </c>
      <c r="G156">
        <v>20200804</v>
      </c>
      <c r="H156" t="s">
        <v>161</v>
      </c>
      <c r="I156">
        <v>917</v>
      </c>
      <c r="J156" s="61" t="s">
        <v>178</v>
      </c>
      <c r="K156">
        <v>1</v>
      </c>
      <c r="L156">
        <v>20000</v>
      </c>
    </row>
    <row r="157" spans="1:12" ht="15" customHeight="1" x14ac:dyDescent="0.2">
      <c r="A157">
        <v>0</v>
      </c>
      <c r="B157" t="s">
        <v>158</v>
      </c>
      <c r="C157" t="s">
        <v>12</v>
      </c>
      <c r="D157">
        <v>4013</v>
      </c>
      <c r="E157" t="s">
        <v>26</v>
      </c>
      <c r="F157">
        <v>0</v>
      </c>
      <c r="G157">
        <v>20200804</v>
      </c>
      <c r="H157" t="s">
        <v>161</v>
      </c>
      <c r="I157">
        <v>917</v>
      </c>
      <c r="J157" s="61" t="s">
        <v>179</v>
      </c>
      <c r="K157">
        <v>1</v>
      </c>
      <c r="L157">
        <v>20000</v>
      </c>
    </row>
    <row r="158" spans="1:12" ht="15" customHeight="1" x14ac:dyDescent="0.2">
      <c r="A158">
        <v>0</v>
      </c>
      <c r="B158" t="s">
        <v>158</v>
      </c>
      <c r="C158" t="s">
        <v>12</v>
      </c>
      <c r="D158">
        <v>4013</v>
      </c>
      <c r="E158" t="s">
        <v>26</v>
      </c>
      <c r="F158">
        <v>0</v>
      </c>
      <c r="G158">
        <v>20200804</v>
      </c>
      <c r="H158" t="s">
        <v>161</v>
      </c>
      <c r="I158">
        <v>917</v>
      </c>
      <c r="J158" s="61" t="s">
        <v>180</v>
      </c>
      <c r="K158">
        <v>1</v>
      </c>
      <c r="L158">
        <v>20048</v>
      </c>
    </row>
    <row r="159" spans="1:12" ht="15" customHeight="1" x14ac:dyDescent="0.2">
      <c r="A159">
        <v>0</v>
      </c>
      <c r="B159" t="s">
        <v>181</v>
      </c>
      <c r="C159" t="s">
        <v>12</v>
      </c>
      <c r="D159">
        <v>4017</v>
      </c>
      <c r="E159" t="s">
        <v>29</v>
      </c>
      <c r="F159">
        <v>0</v>
      </c>
      <c r="G159">
        <v>20200804</v>
      </c>
      <c r="H159" t="s">
        <v>181</v>
      </c>
      <c r="I159">
        <v>76</v>
      </c>
      <c r="J159" s="61" t="s">
        <v>172</v>
      </c>
      <c r="K159">
        <v>1</v>
      </c>
      <c r="L159">
        <v>21778</v>
      </c>
    </row>
    <row r="160" spans="1:12" ht="15" customHeight="1" x14ac:dyDescent="0.2">
      <c r="A160">
        <v>0</v>
      </c>
      <c r="B160" t="s">
        <v>158</v>
      </c>
      <c r="C160" t="s">
        <v>12</v>
      </c>
      <c r="D160">
        <v>4013</v>
      </c>
      <c r="E160" t="s">
        <v>26</v>
      </c>
      <c r="F160">
        <v>0</v>
      </c>
      <c r="G160">
        <v>20200801</v>
      </c>
      <c r="H160" t="s">
        <v>161</v>
      </c>
      <c r="I160">
        <v>917</v>
      </c>
      <c r="J160" s="61" t="s">
        <v>166</v>
      </c>
      <c r="K160">
        <v>1</v>
      </c>
      <c r="L160">
        <v>21820</v>
      </c>
    </row>
    <row r="161" spans="1:12" ht="15" customHeight="1" x14ac:dyDescent="0.2">
      <c r="A161">
        <v>0</v>
      </c>
      <c r="B161" t="s">
        <v>158</v>
      </c>
      <c r="C161" t="s">
        <v>12</v>
      </c>
      <c r="D161">
        <v>4013</v>
      </c>
      <c r="E161" t="s">
        <v>26</v>
      </c>
      <c r="F161">
        <v>0</v>
      </c>
      <c r="G161">
        <v>20200804</v>
      </c>
      <c r="H161" t="s">
        <v>161</v>
      </c>
      <c r="I161">
        <v>917</v>
      </c>
      <c r="J161" s="61" t="s">
        <v>171</v>
      </c>
      <c r="K161">
        <v>1</v>
      </c>
      <c r="L161">
        <v>23058</v>
      </c>
    </row>
    <row r="162" spans="1:12" ht="15" customHeight="1" x14ac:dyDescent="0.2">
      <c r="A162">
        <v>0</v>
      </c>
      <c r="B162" t="s">
        <v>158</v>
      </c>
      <c r="C162" t="s">
        <v>12</v>
      </c>
      <c r="D162">
        <v>4013</v>
      </c>
      <c r="E162" t="s">
        <v>26</v>
      </c>
      <c r="F162">
        <v>0</v>
      </c>
      <c r="G162">
        <v>20200804</v>
      </c>
      <c r="H162" t="s">
        <v>161</v>
      </c>
      <c r="I162">
        <v>917</v>
      </c>
      <c r="J162" s="61" t="s">
        <v>171</v>
      </c>
      <c r="K162">
        <v>1</v>
      </c>
      <c r="L162">
        <v>23495</v>
      </c>
    </row>
    <row r="163" spans="1:12" ht="15" customHeight="1" x14ac:dyDescent="0.2">
      <c r="A163">
        <v>0</v>
      </c>
      <c r="B163" t="s">
        <v>158</v>
      </c>
      <c r="C163" t="s">
        <v>12</v>
      </c>
      <c r="D163">
        <v>4013</v>
      </c>
      <c r="E163" t="s">
        <v>26</v>
      </c>
      <c r="F163">
        <v>0</v>
      </c>
      <c r="G163">
        <v>20200804</v>
      </c>
      <c r="H163" t="s">
        <v>161</v>
      </c>
      <c r="I163">
        <v>917</v>
      </c>
      <c r="J163" s="61" t="s">
        <v>172</v>
      </c>
      <c r="K163">
        <v>1</v>
      </c>
      <c r="L163">
        <v>23731</v>
      </c>
    </row>
    <row r="164" spans="1:12" ht="15" customHeight="1" x14ac:dyDescent="0.2">
      <c r="A164">
        <v>0</v>
      </c>
      <c r="B164" t="s">
        <v>158</v>
      </c>
      <c r="C164" t="s">
        <v>12</v>
      </c>
      <c r="D164">
        <v>4013</v>
      </c>
      <c r="E164" t="s">
        <v>26</v>
      </c>
      <c r="F164">
        <v>0</v>
      </c>
      <c r="G164">
        <v>20200803</v>
      </c>
      <c r="H164" t="s">
        <v>161</v>
      </c>
      <c r="I164">
        <v>917</v>
      </c>
      <c r="J164" s="61" t="s">
        <v>167</v>
      </c>
      <c r="K164">
        <v>1</v>
      </c>
      <c r="L164">
        <v>24180</v>
      </c>
    </row>
    <row r="165" spans="1:12" ht="15" customHeight="1" x14ac:dyDescent="0.2">
      <c r="A165">
        <v>0</v>
      </c>
      <c r="B165" t="s">
        <v>158</v>
      </c>
      <c r="C165" t="s">
        <v>12</v>
      </c>
      <c r="D165">
        <v>4013</v>
      </c>
      <c r="E165" t="s">
        <v>26</v>
      </c>
      <c r="F165">
        <v>0</v>
      </c>
      <c r="G165">
        <v>20200803</v>
      </c>
      <c r="H165" t="s">
        <v>161</v>
      </c>
      <c r="I165">
        <v>917</v>
      </c>
      <c r="J165" s="61" t="s">
        <v>169</v>
      </c>
      <c r="K165">
        <v>1</v>
      </c>
      <c r="L165">
        <v>24200</v>
      </c>
    </row>
    <row r="166" spans="1:12" ht="15" customHeight="1" x14ac:dyDescent="0.2">
      <c r="A166">
        <v>0</v>
      </c>
      <c r="B166" t="s">
        <v>158</v>
      </c>
      <c r="C166" t="s">
        <v>12</v>
      </c>
      <c r="D166">
        <v>4013</v>
      </c>
      <c r="E166" t="s">
        <v>26</v>
      </c>
      <c r="F166">
        <v>0</v>
      </c>
      <c r="G166">
        <v>20200804</v>
      </c>
      <c r="H166" t="s">
        <v>161</v>
      </c>
      <c r="I166">
        <v>917</v>
      </c>
      <c r="J166" s="61" t="s">
        <v>167</v>
      </c>
      <c r="K166">
        <v>1</v>
      </c>
      <c r="L166">
        <v>24200</v>
      </c>
    </row>
    <row r="167" spans="1:12" ht="15" customHeight="1" x14ac:dyDescent="0.2">
      <c r="A167">
        <v>0</v>
      </c>
      <c r="B167" t="s">
        <v>158</v>
      </c>
      <c r="C167" t="s">
        <v>12</v>
      </c>
      <c r="D167">
        <v>4013</v>
      </c>
      <c r="E167" t="s">
        <v>26</v>
      </c>
      <c r="F167">
        <v>0</v>
      </c>
      <c r="G167">
        <v>20200802</v>
      </c>
      <c r="H167" t="s">
        <v>161</v>
      </c>
      <c r="I167">
        <v>917</v>
      </c>
      <c r="J167" s="61" t="s">
        <v>165</v>
      </c>
      <c r="K167">
        <v>1</v>
      </c>
      <c r="L167">
        <v>24500</v>
      </c>
    </row>
    <row r="168" spans="1:12" ht="15" customHeight="1" x14ac:dyDescent="0.2">
      <c r="A168">
        <v>0</v>
      </c>
      <c r="B168" t="s">
        <v>158</v>
      </c>
      <c r="C168" t="s">
        <v>12</v>
      </c>
      <c r="D168">
        <v>4013</v>
      </c>
      <c r="E168" t="s">
        <v>26</v>
      </c>
      <c r="F168">
        <v>0</v>
      </c>
      <c r="G168">
        <v>20200804</v>
      </c>
      <c r="H168" t="s">
        <v>161</v>
      </c>
      <c r="I168">
        <v>917</v>
      </c>
      <c r="J168" s="61" t="s">
        <v>171</v>
      </c>
      <c r="K168">
        <v>1</v>
      </c>
      <c r="L168">
        <v>26937</v>
      </c>
    </row>
    <row r="169" spans="1:12" ht="15" customHeight="1" x14ac:dyDescent="0.2">
      <c r="A169">
        <v>0</v>
      </c>
      <c r="B169" t="s">
        <v>158</v>
      </c>
      <c r="C169" t="s">
        <v>12</v>
      </c>
      <c r="D169">
        <v>4013</v>
      </c>
      <c r="E169" t="s">
        <v>26</v>
      </c>
      <c r="F169">
        <v>0</v>
      </c>
      <c r="G169">
        <v>20200804</v>
      </c>
      <c r="H169" t="s">
        <v>161</v>
      </c>
      <c r="I169">
        <v>917</v>
      </c>
      <c r="J169" s="61" t="s">
        <v>165</v>
      </c>
      <c r="K169">
        <v>1</v>
      </c>
      <c r="L169">
        <v>27000</v>
      </c>
    </row>
    <row r="170" spans="1:12" ht="15" customHeight="1" x14ac:dyDescent="0.2">
      <c r="A170">
        <v>0</v>
      </c>
      <c r="B170" t="s">
        <v>125</v>
      </c>
      <c r="C170" t="s">
        <v>12</v>
      </c>
      <c r="D170">
        <v>4013</v>
      </c>
      <c r="E170" t="s">
        <v>26</v>
      </c>
      <c r="F170">
        <v>0</v>
      </c>
      <c r="G170">
        <v>20200804</v>
      </c>
      <c r="H170" t="s">
        <v>182</v>
      </c>
      <c r="I170">
        <v>13</v>
      </c>
      <c r="J170" s="61" t="s">
        <v>175</v>
      </c>
      <c r="K170">
        <v>1</v>
      </c>
      <c r="L170">
        <v>27752</v>
      </c>
    </row>
    <row r="171" spans="1:12" ht="15" customHeight="1" x14ac:dyDescent="0.2">
      <c r="A171">
        <v>0</v>
      </c>
      <c r="B171" t="s">
        <v>125</v>
      </c>
      <c r="C171" t="s">
        <v>12</v>
      </c>
      <c r="D171">
        <v>4013</v>
      </c>
      <c r="E171" t="s">
        <v>26</v>
      </c>
      <c r="F171">
        <v>0</v>
      </c>
      <c r="G171">
        <v>20200803</v>
      </c>
      <c r="H171" t="s">
        <v>168</v>
      </c>
      <c r="I171">
        <v>45</v>
      </c>
      <c r="J171" s="61" t="s">
        <v>180</v>
      </c>
      <c r="K171">
        <v>1</v>
      </c>
      <c r="L171">
        <v>27900</v>
      </c>
    </row>
    <row r="172" spans="1:12" ht="15" customHeight="1" x14ac:dyDescent="0.2">
      <c r="A172">
        <v>0</v>
      </c>
      <c r="B172" t="s">
        <v>125</v>
      </c>
      <c r="C172" t="s">
        <v>12</v>
      </c>
      <c r="D172">
        <v>6842</v>
      </c>
      <c r="E172" t="s">
        <v>157</v>
      </c>
      <c r="F172">
        <v>0</v>
      </c>
      <c r="G172">
        <v>20200804</v>
      </c>
      <c r="H172" t="s">
        <v>128</v>
      </c>
      <c r="I172">
        <v>39</v>
      </c>
      <c r="J172">
        <v>43731787</v>
      </c>
      <c r="K172">
        <v>1</v>
      </c>
      <c r="L172">
        <v>28500</v>
      </c>
    </row>
    <row r="173" spans="1:12" ht="15" customHeight="1" x14ac:dyDescent="0.2">
      <c r="A173">
        <v>0</v>
      </c>
      <c r="B173" t="s">
        <v>183</v>
      </c>
      <c r="C173" t="s">
        <v>12</v>
      </c>
      <c r="D173">
        <v>4017</v>
      </c>
      <c r="E173" t="s">
        <v>29</v>
      </c>
      <c r="F173">
        <v>0</v>
      </c>
      <c r="G173">
        <v>20200804</v>
      </c>
      <c r="H173" t="s">
        <v>184</v>
      </c>
      <c r="I173">
        <v>865</v>
      </c>
      <c r="J173" s="61" t="s">
        <v>185</v>
      </c>
      <c r="K173">
        <v>1</v>
      </c>
      <c r="L173">
        <v>28543</v>
      </c>
    </row>
    <row r="174" spans="1:12" ht="15" customHeight="1" x14ac:dyDescent="0.2">
      <c r="A174">
        <v>0</v>
      </c>
      <c r="B174" t="s">
        <v>158</v>
      </c>
      <c r="C174" t="s">
        <v>12</v>
      </c>
      <c r="D174">
        <v>4013</v>
      </c>
      <c r="E174" t="s">
        <v>26</v>
      </c>
      <c r="F174">
        <v>0</v>
      </c>
      <c r="G174">
        <v>20200803</v>
      </c>
      <c r="H174" t="s">
        <v>161</v>
      </c>
      <c r="I174">
        <v>917</v>
      </c>
      <c r="J174" s="61" t="s">
        <v>175</v>
      </c>
      <c r="K174">
        <v>1</v>
      </c>
      <c r="L174">
        <v>28676</v>
      </c>
    </row>
    <row r="175" spans="1:12" ht="15" customHeight="1" x14ac:dyDescent="0.2">
      <c r="A175">
        <v>0</v>
      </c>
      <c r="B175" t="s">
        <v>158</v>
      </c>
      <c r="C175" t="s">
        <v>12</v>
      </c>
      <c r="D175">
        <v>4013</v>
      </c>
      <c r="E175" t="s">
        <v>26</v>
      </c>
      <c r="F175">
        <v>0</v>
      </c>
      <c r="G175">
        <v>20200801</v>
      </c>
      <c r="H175" t="s">
        <v>161</v>
      </c>
      <c r="I175">
        <v>917</v>
      </c>
      <c r="J175" s="61" t="s">
        <v>186</v>
      </c>
      <c r="K175">
        <v>1</v>
      </c>
      <c r="L175">
        <v>30000</v>
      </c>
    </row>
    <row r="176" spans="1:12" ht="15" customHeight="1" x14ac:dyDescent="0.2">
      <c r="A176">
        <v>0</v>
      </c>
      <c r="B176" t="s">
        <v>158</v>
      </c>
      <c r="C176" t="s">
        <v>12</v>
      </c>
      <c r="D176">
        <v>4013</v>
      </c>
      <c r="E176" t="s">
        <v>26</v>
      </c>
      <c r="F176">
        <v>0</v>
      </c>
      <c r="G176">
        <v>20200801</v>
      </c>
      <c r="H176" t="s">
        <v>161</v>
      </c>
      <c r="I176">
        <v>917</v>
      </c>
      <c r="J176" s="61" t="s">
        <v>187</v>
      </c>
      <c r="K176">
        <v>1</v>
      </c>
      <c r="L176">
        <v>30000</v>
      </c>
    </row>
    <row r="177" spans="1:12" ht="15" customHeight="1" x14ac:dyDescent="0.2">
      <c r="A177">
        <v>0</v>
      </c>
      <c r="B177" t="s">
        <v>158</v>
      </c>
      <c r="C177" t="s">
        <v>12</v>
      </c>
      <c r="D177">
        <v>4013</v>
      </c>
      <c r="E177" t="s">
        <v>26</v>
      </c>
      <c r="F177">
        <v>0</v>
      </c>
      <c r="G177">
        <v>20200801</v>
      </c>
      <c r="H177" t="s">
        <v>161</v>
      </c>
      <c r="I177">
        <v>917</v>
      </c>
      <c r="J177" s="61" t="s">
        <v>187</v>
      </c>
      <c r="K177">
        <v>1</v>
      </c>
      <c r="L177">
        <v>30000</v>
      </c>
    </row>
    <row r="178" spans="1:12" ht="15" customHeight="1" x14ac:dyDescent="0.2">
      <c r="A178">
        <v>0</v>
      </c>
      <c r="B178" t="s">
        <v>125</v>
      </c>
      <c r="C178" t="s">
        <v>12</v>
      </c>
      <c r="D178">
        <v>6842</v>
      </c>
      <c r="E178" t="s">
        <v>157</v>
      </c>
      <c r="F178">
        <v>0</v>
      </c>
      <c r="G178">
        <v>20200802</v>
      </c>
      <c r="H178" t="s">
        <v>128</v>
      </c>
      <c r="I178">
        <v>39</v>
      </c>
      <c r="J178">
        <v>51625869</v>
      </c>
      <c r="K178">
        <v>1</v>
      </c>
      <c r="L178">
        <v>30000</v>
      </c>
    </row>
    <row r="179" spans="1:12" ht="15" customHeight="1" x14ac:dyDescent="0.2">
      <c r="A179">
        <v>0</v>
      </c>
      <c r="B179" t="s">
        <v>158</v>
      </c>
      <c r="C179" t="s">
        <v>12</v>
      </c>
      <c r="D179">
        <v>4013</v>
      </c>
      <c r="E179" t="s">
        <v>26</v>
      </c>
      <c r="F179">
        <v>0</v>
      </c>
      <c r="G179">
        <v>20200803</v>
      </c>
      <c r="H179" t="s">
        <v>161</v>
      </c>
      <c r="I179">
        <v>917</v>
      </c>
      <c r="J179" s="61" t="s">
        <v>188</v>
      </c>
      <c r="K179">
        <v>1</v>
      </c>
      <c r="L179">
        <v>30000</v>
      </c>
    </row>
    <row r="180" spans="1:12" ht="15" customHeight="1" x14ac:dyDescent="0.2">
      <c r="A180">
        <v>0</v>
      </c>
      <c r="B180" t="s">
        <v>158</v>
      </c>
      <c r="C180" t="s">
        <v>12</v>
      </c>
      <c r="D180">
        <v>4013</v>
      </c>
      <c r="E180" t="s">
        <v>26</v>
      </c>
      <c r="F180">
        <v>0</v>
      </c>
      <c r="G180">
        <v>20200803</v>
      </c>
      <c r="H180" t="s">
        <v>161</v>
      </c>
      <c r="I180">
        <v>917</v>
      </c>
      <c r="J180" s="61" t="s">
        <v>188</v>
      </c>
      <c r="K180">
        <v>1</v>
      </c>
      <c r="L180">
        <v>30000</v>
      </c>
    </row>
    <row r="181" spans="1:12" ht="15" customHeight="1" x14ac:dyDescent="0.2">
      <c r="A181">
        <v>0</v>
      </c>
      <c r="B181" t="s">
        <v>158</v>
      </c>
      <c r="C181" t="s">
        <v>12</v>
      </c>
      <c r="D181">
        <v>4013</v>
      </c>
      <c r="E181" t="s">
        <v>26</v>
      </c>
      <c r="F181">
        <v>0</v>
      </c>
      <c r="G181">
        <v>20200803</v>
      </c>
      <c r="H181" t="s">
        <v>161</v>
      </c>
      <c r="I181">
        <v>917</v>
      </c>
      <c r="J181" s="61" t="s">
        <v>189</v>
      </c>
      <c r="K181">
        <v>1</v>
      </c>
      <c r="L181">
        <v>30000</v>
      </c>
    </row>
    <row r="182" spans="1:12" ht="15" customHeight="1" x14ac:dyDescent="0.2">
      <c r="A182">
        <v>0</v>
      </c>
      <c r="B182" t="s">
        <v>158</v>
      </c>
      <c r="C182" t="s">
        <v>12</v>
      </c>
      <c r="D182">
        <v>4013</v>
      </c>
      <c r="E182" t="s">
        <v>26</v>
      </c>
      <c r="F182">
        <v>0</v>
      </c>
      <c r="G182">
        <v>20200803</v>
      </c>
      <c r="H182" t="s">
        <v>161</v>
      </c>
      <c r="I182">
        <v>917</v>
      </c>
      <c r="J182" s="61" t="s">
        <v>188</v>
      </c>
      <c r="K182">
        <v>1</v>
      </c>
      <c r="L182">
        <v>30000</v>
      </c>
    </row>
    <row r="183" spans="1:12" ht="15" customHeight="1" x14ac:dyDescent="0.2">
      <c r="A183">
        <v>0</v>
      </c>
      <c r="B183" t="s">
        <v>158</v>
      </c>
      <c r="C183" t="s">
        <v>12</v>
      </c>
      <c r="D183">
        <v>4013</v>
      </c>
      <c r="E183" t="s">
        <v>26</v>
      </c>
      <c r="F183">
        <v>0</v>
      </c>
      <c r="G183">
        <v>20200803</v>
      </c>
      <c r="H183" t="s">
        <v>161</v>
      </c>
      <c r="I183">
        <v>917</v>
      </c>
      <c r="J183" s="61" t="s">
        <v>186</v>
      </c>
      <c r="K183">
        <v>1</v>
      </c>
      <c r="L183">
        <v>30000</v>
      </c>
    </row>
    <row r="184" spans="1:12" ht="15" customHeight="1" x14ac:dyDescent="0.2">
      <c r="A184">
        <v>0</v>
      </c>
      <c r="B184" t="s">
        <v>158</v>
      </c>
      <c r="C184" t="s">
        <v>12</v>
      </c>
      <c r="D184">
        <v>4013</v>
      </c>
      <c r="E184" t="s">
        <v>26</v>
      </c>
      <c r="F184">
        <v>0</v>
      </c>
      <c r="G184">
        <v>20200803</v>
      </c>
      <c r="H184" t="s">
        <v>161</v>
      </c>
      <c r="I184">
        <v>917</v>
      </c>
      <c r="J184" s="61" t="s">
        <v>178</v>
      </c>
      <c r="K184">
        <v>1</v>
      </c>
      <c r="L184">
        <v>30000</v>
      </c>
    </row>
    <row r="185" spans="1:12" ht="15" customHeight="1" x14ac:dyDescent="0.2">
      <c r="A185">
        <v>0</v>
      </c>
      <c r="B185" t="s">
        <v>158</v>
      </c>
      <c r="C185" t="s">
        <v>12</v>
      </c>
      <c r="D185">
        <v>4013</v>
      </c>
      <c r="E185" t="s">
        <v>26</v>
      </c>
      <c r="F185">
        <v>0</v>
      </c>
      <c r="G185">
        <v>20200803</v>
      </c>
      <c r="H185" t="s">
        <v>161</v>
      </c>
      <c r="I185">
        <v>917</v>
      </c>
      <c r="J185" s="61" t="s">
        <v>186</v>
      </c>
      <c r="K185">
        <v>1</v>
      </c>
      <c r="L185">
        <v>30000</v>
      </c>
    </row>
    <row r="186" spans="1:12" ht="15" customHeight="1" x14ac:dyDescent="0.2">
      <c r="A186">
        <v>0</v>
      </c>
      <c r="B186" t="s">
        <v>158</v>
      </c>
      <c r="C186" t="s">
        <v>12</v>
      </c>
      <c r="D186">
        <v>4013</v>
      </c>
      <c r="E186" t="s">
        <v>26</v>
      </c>
      <c r="F186">
        <v>0</v>
      </c>
      <c r="G186">
        <v>20200803</v>
      </c>
      <c r="H186" t="s">
        <v>161</v>
      </c>
      <c r="I186">
        <v>917</v>
      </c>
      <c r="J186" s="61" t="s">
        <v>187</v>
      </c>
      <c r="K186">
        <v>1</v>
      </c>
      <c r="L186">
        <v>30000</v>
      </c>
    </row>
    <row r="187" spans="1:12" ht="15" customHeight="1" x14ac:dyDescent="0.2">
      <c r="A187">
        <v>0</v>
      </c>
      <c r="B187" t="s">
        <v>158</v>
      </c>
      <c r="C187" t="s">
        <v>12</v>
      </c>
      <c r="D187">
        <v>4013</v>
      </c>
      <c r="E187" t="s">
        <v>26</v>
      </c>
      <c r="F187">
        <v>0</v>
      </c>
      <c r="G187">
        <v>20200804</v>
      </c>
      <c r="H187" t="s">
        <v>161</v>
      </c>
      <c r="I187">
        <v>917</v>
      </c>
      <c r="J187" s="61" t="s">
        <v>187</v>
      </c>
      <c r="K187">
        <v>1</v>
      </c>
      <c r="L187">
        <v>30000</v>
      </c>
    </row>
    <row r="188" spans="1:12" ht="15" customHeight="1" x14ac:dyDescent="0.2">
      <c r="A188">
        <v>0</v>
      </c>
      <c r="B188" t="s">
        <v>158</v>
      </c>
      <c r="C188" t="s">
        <v>12</v>
      </c>
      <c r="D188">
        <v>4013</v>
      </c>
      <c r="E188" t="s">
        <v>26</v>
      </c>
      <c r="F188">
        <v>0</v>
      </c>
      <c r="G188">
        <v>20200804</v>
      </c>
      <c r="H188" t="s">
        <v>161</v>
      </c>
      <c r="I188">
        <v>917</v>
      </c>
      <c r="J188" s="61" t="s">
        <v>187</v>
      </c>
      <c r="K188">
        <v>1</v>
      </c>
      <c r="L188">
        <v>30000</v>
      </c>
    </row>
    <row r="189" spans="1:12" ht="15" customHeight="1" x14ac:dyDescent="0.2">
      <c r="A189">
        <v>0</v>
      </c>
      <c r="B189" t="s">
        <v>158</v>
      </c>
      <c r="C189" t="s">
        <v>12</v>
      </c>
      <c r="D189">
        <v>4013</v>
      </c>
      <c r="E189" t="s">
        <v>26</v>
      </c>
      <c r="F189">
        <v>0</v>
      </c>
      <c r="G189">
        <v>20200804</v>
      </c>
      <c r="H189" t="s">
        <v>161</v>
      </c>
      <c r="I189">
        <v>917</v>
      </c>
      <c r="J189" s="61" t="s">
        <v>186</v>
      </c>
      <c r="K189">
        <v>1</v>
      </c>
      <c r="L189">
        <v>30000</v>
      </c>
    </row>
    <row r="190" spans="1:12" ht="15" customHeight="1" x14ac:dyDescent="0.2">
      <c r="A190">
        <v>0</v>
      </c>
      <c r="B190" t="s">
        <v>158</v>
      </c>
      <c r="C190" t="s">
        <v>12</v>
      </c>
      <c r="D190">
        <v>4013</v>
      </c>
      <c r="E190" t="s">
        <v>26</v>
      </c>
      <c r="F190">
        <v>0</v>
      </c>
      <c r="G190">
        <v>20200804</v>
      </c>
      <c r="H190" t="s">
        <v>161</v>
      </c>
      <c r="I190">
        <v>917</v>
      </c>
      <c r="J190" s="61" t="s">
        <v>188</v>
      </c>
      <c r="K190">
        <v>1</v>
      </c>
      <c r="L190">
        <v>30000</v>
      </c>
    </row>
    <row r="191" spans="1:12" ht="15" customHeight="1" x14ac:dyDescent="0.2">
      <c r="A191">
        <v>0</v>
      </c>
      <c r="B191" t="s">
        <v>158</v>
      </c>
      <c r="C191" t="s">
        <v>12</v>
      </c>
      <c r="D191">
        <v>4013</v>
      </c>
      <c r="E191" t="s">
        <v>26</v>
      </c>
      <c r="F191">
        <v>0</v>
      </c>
      <c r="G191">
        <v>20200804</v>
      </c>
      <c r="H191" t="s">
        <v>161</v>
      </c>
      <c r="I191">
        <v>917</v>
      </c>
      <c r="J191" s="61" t="s">
        <v>187</v>
      </c>
      <c r="K191">
        <v>1</v>
      </c>
      <c r="L191">
        <v>30000</v>
      </c>
    </row>
    <row r="192" spans="1:12" ht="15" customHeight="1" x14ac:dyDescent="0.2">
      <c r="A192">
        <v>0</v>
      </c>
      <c r="B192" t="s">
        <v>190</v>
      </c>
      <c r="C192" t="s">
        <v>12</v>
      </c>
      <c r="D192">
        <v>4017</v>
      </c>
      <c r="E192" t="s">
        <v>29</v>
      </c>
      <c r="F192">
        <v>0</v>
      </c>
      <c r="G192">
        <v>20200804</v>
      </c>
      <c r="H192" t="s">
        <v>190</v>
      </c>
      <c r="I192">
        <v>318</v>
      </c>
      <c r="J192" s="61" t="s">
        <v>187</v>
      </c>
      <c r="K192">
        <v>1</v>
      </c>
      <c r="L192">
        <v>30000</v>
      </c>
    </row>
    <row r="193" spans="1:12" ht="15" customHeight="1" x14ac:dyDescent="0.2">
      <c r="A193">
        <v>0</v>
      </c>
      <c r="B193" t="s">
        <v>158</v>
      </c>
      <c r="C193" t="s">
        <v>12</v>
      </c>
      <c r="D193">
        <v>4013</v>
      </c>
      <c r="E193" t="s">
        <v>26</v>
      </c>
      <c r="F193">
        <v>0</v>
      </c>
      <c r="G193">
        <v>20200803</v>
      </c>
      <c r="H193" t="s">
        <v>161</v>
      </c>
      <c r="I193">
        <v>917</v>
      </c>
      <c r="J193" s="61" t="s">
        <v>172</v>
      </c>
      <c r="K193">
        <v>1</v>
      </c>
      <c r="L193">
        <v>32000</v>
      </c>
    </row>
    <row r="194" spans="1:12" ht="15" customHeight="1" x14ac:dyDescent="0.2">
      <c r="A194">
        <v>0</v>
      </c>
      <c r="B194" t="s">
        <v>158</v>
      </c>
      <c r="C194" t="s">
        <v>12</v>
      </c>
      <c r="D194">
        <v>4013</v>
      </c>
      <c r="E194" t="s">
        <v>26</v>
      </c>
      <c r="F194">
        <v>0</v>
      </c>
      <c r="G194">
        <v>20200804</v>
      </c>
      <c r="H194" t="s">
        <v>161</v>
      </c>
      <c r="I194">
        <v>917</v>
      </c>
      <c r="J194" s="61" t="s">
        <v>191</v>
      </c>
      <c r="K194">
        <v>1</v>
      </c>
      <c r="L194">
        <v>32000</v>
      </c>
    </row>
    <row r="195" spans="1:12" ht="15" customHeight="1" x14ac:dyDescent="0.2">
      <c r="A195">
        <v>0</v>
      </c>
      <c r="B195" t="s">
        <v>125</v>
      </c>
      <c r="C195" t="s">
        <v>12</v>
      </c>
      <c r="D195">
        <v>6842</v>
      </c>
      <c r="E195" t="s">
        <v>157</v>
      </c>
      <c r="F195">
        <v>0</v>
      </c>
      <c r="G195">
        <v>20200801</v>
      </c>
      <c r="H195" t="s">
        <v>128</v>
      </c>
      <c r="I195">
        <v>39</v>
      </c>
      <c r="J195">
        <v>52883394</v>
      </c>
      <c r="K195">
        <v>1</v>
      </c>
      <c r="L195">
        <v>34000</v>
      </c>
    </row>
    <row r="196" spans="1:12" ht="15" customHeight="1" x14ac:dyDescent="0.2">
      <c r="A196">
        <v>0</v>
      </c>
      <c r="B196" t="s">
        <v>158</v>
      </c>
      <c r="C196" t="s">
        <v>12</v>
      </c>
      <c r="D196">
        <v>4013</v>
      </c>
      <c r="E196" t="s">
        <v>26</v>
      </c>
      <c r="F196">
        <v>0</v>
      </c>
      <c r="G196">
        <v>20200804</v>
      </c>
      <c r="H196" t="s">
        <v>161</v>
      </c>
      <c r="I196">
        <v>917</v>
      </c>
      <c r="J196" s="61" t="s">
        <v>172</v>
      </c>
      <c r="K196">
        <v>1</v>
      </c>
      <c r="L196">
        <v>34220</v>
      </c>
    </row>
    <row r="197" spans="1:12" ht="15" customHeight="1" x14ac:dyDescent="0.2">
      <c r="A197">
        <v>0</v>
      </c>
      <c r="B197" t="s">
        <v>158</v>
      </c>
      <c r="C197" t="s">
        <v>12</v>
      </c>
      <c r="D197">
        <v>4013</v>
      </c>
      <c r="E197" t="s">
        <v>26</v>
      </c>
      <c r="F197">
        <v>0</v>
      </c>
      <c r="G197">
        <v>20200801</v>
      </c>
      <c r="H197" t="s">
        <v>161</v>
      </c>
      <c r="I197">
        <v>917</v>
      </c>
      <c r="J197" s="61" t="s">
        <v>163</v>
      </c>
      <c r="K197">
        <v>1</v>
      </c>
      <c r="L197">
        <v>35000</v>
      </c>
    </row>
    <row r="198" spans="1:12" ht="15" customHeight="1" x14ac:dyDescent="0.2">
      <c r="A198">
        <v>0</v>
      </c>
      <c r="B198" t="s">
        <v>125</v>
      </c>
      <c r="C198" t="s">
        <v>12</v>
      </c>
      <c r="D198">
        <v>6842</v>
      </c>
      <c r="E198" t="s">
        <v>157</v>
      </c>
      <c r="F198">
        <v>0</v>
      </c>
      <c r="G198">
        <v>20200802</v>
      </c>
      <c r="H198" t="s">
        <v>128</v>
      </c>
      <c r="I198">
        <v>39</v>
      </c>
      <c r="J198">
        <v>20301016</v>
      </c>
      <c r="K198">
        <v>1</v>
      </c>
      <c r="L198">
        <v>37000</v>
      </c>
    </row>
    <row r="199" spans="1:12" ht="15" customHeight="1" x14ac:dyDescent="0.2">
      <c r="A199">
        <v>0</v>
      </c>
      <c r="B199" t="s">
        <v>158</v>
      </c>
      <c r="C199" t="s">
        <v>12</v>
      </c>
      <c r="D199">
        <v>4013</v>
      </c>
      <c r="E199" t="s">
        <v>26</v>
      </c>
      <c r="F199">
        <v>0</v>
      </c>
      <c r="G199">
        <v>20200803</v>
      </c>
      <c r="H199" t="s">
        <v>161</v>
      </c>
      <c r="I199">
        <v>917</v>
      </c>
      <c r="J199" s="61" t="s">
        <v>192</v>
      </c>
      <c r="K199">
        <v>1</v>
      </c>
      <c r="L199">
        <v>38000</v>
      </c>
    </row>
    <row r="200" spans="1:12" ht="15" customHeight="1" x14ac:dyDescent="0.2">
      <c r="A200">
        <v>0</v>
      </c>
      <c r="B200" t="s">
        <v>158</v>
      </c>
      <c r="C200" t="s">
        <v>12</v>
      </c>
      <c r="D200">
        <v>4013</v>
      </c>
      <c r="E200" t="s">
        <v>26</v>
      </c>
      <c r="F200">
        <v>0</v>
      </c>
      <c r="G200">
        <v>20200804</v>
      </c>
      <c r="H200" t="s">
        <v>161</v>
      </c>
      <c r="I200">
        <v>917</v>
      </c>
      <c r="J200" s="61" t="s">
        <v>171</v>
      </c>
      <c r="K200">
        <v>1</v>
      </c>
      <c r="L200">
        <v>38668</v>
      </c>
    </row>
    <row r="201" spans="1:12" ht="15" customHeight="1" x14ac:dyDescent="0.2">
      <c r="A201">
        <v>0</v>
      </c>
      <c r="B201" t="s">
        <v>158</v>
      </c>
      <c r="C201" t="s">
        <v>12</v>
      </c>
      <c r="D201">
        <v>4013</v>
      </c>
      <c r="E201" t="s">
        <v>26</v>
      </c>
      <c r="F201">
        <v>0</v>
      </c>
      <c r="G201">
        <v>20200804</v>
      </c>
      <c r="H201" t="s">
        <v>161</v>
      </c>
      <c r="I201">
        <v>917</v>
      </c>
      <c r="J201" s="61" t="s">
        <v>172</v>
      </c>
      <c r="K201">
        <v>1</v>
      </c>
      <c r="L201">
        <v>39041</v>
      </c>
    </row>
    <row r="202" spans="1:12" ht="15" customHeight="1" x14ac:dyDescent="0.2">
      <c r="A202">
        <v>0</v>
      </c>
      <c r="B202" t="s">
        <v>158</v>
      </c>
      <c r="C202" t="s">
        <v>12</v>
      </c>
      <c r="D202">
        <v>4013</v>
      </c>
      <c r="E202" t="s">
        <v>26</v>
      </c>
      <c r="F202">
        <v>0</v>
      </c>
      <c r="G202">
        <v>20200801</v>
      </c>
      <c r="H202" t="s">
        <v>161</v>
      </c>
      <c r="I202">
        <v>917</v>
      </c>
      <c r="J202" s="61" t="s">
        <v>171</v>
      </c>
      <c r="K202">
        <v>1</v>
      </c>
      <c r="L202">
        <v>39850</v>
      </c>
    </row>
    <row r="203" spans="1:12" ht="15" customHeight="1" x14ac:dyDescent="0.2">
      <c r="A203">
        <v>0</v>
      </c>
      <c r="B203" t="s">
        <v>125</v>
      </c>
      <c r="C203" t="s">
        <v>12</v>
      </c>
      <c r="D203">
        <v>6842</v>
      </c>
      <c r="E203" t="s">
        <v>157</v>
      </c>
      <c r="F203">
        <v>0</v>
      </c>
      <c r="G203">
        <v>20200804</v>
      </c>
      <c r="H203" t="s">
        <v>128</v>
      </c>
      <c r="I203">
        <v>39</v>
      </c>
      <c r="J203">
        <v>1064992908</v>
      </c>
      <c r="K203">
        <v>1</v>
      </c>
      <c r="L203">
        <v>39947</v>
      </c>
    </row>
    <row r="204" spans="1:12" ht="15" customHeight="1" x14ac:dyDescent="0.2">
      <c r="A204">
        <v>0</v>
      </c>
      <c r="B204" t="s">
        <v>158</v>
      </c>
      <c r="C204" t="s">
        <v>12</v>
      </c>
      <c r="D204">
        <v>4013</v>
      </c>
      <c r="E204" t="s">
        <v>26</v>
      </c>
      <c r="F204">
        <v>0</v>
      </c>
      <c r="G204">
        <v>20200804</v>
      </c>
      <c r="H204" t="s">
        <v>161</v>
      </c>
      <c r="I204">
        <v>917</v>
      </c>
      <c r="J204" s="61" t="s">
        <v>193</v>
      </c>
      <c r="K204">
        <v>1</v>
      </c>
      <c r="L204">
        <v>40000</v>
      </c>
    </row>
    <row r="205" spans="1:12" ht="15" customHeight="1" x14ac:dyDescent="0.2">
      <c r="A205">
        <v>0</v>
      </c>
      <c r="B205" t="s">
        <v>158</v>
      </c>
      <c r="C205" t="s">
        <v>12</v>
      </c>
      <c r="D205">
        <v>4013</v>
      </c>
      <c r="E205" t="s">
        <v>26</v>
      </c>
      <c r="F205">
        <v>0</v>
      </c>
      <c r="G205">
        <v>20200803</v>
      </c>
      <c r="H205" t="s">
        <v>161</v>
      </c>
      <c r="I205">
        <v>917</v>
      </c>
      <c r="J205" s="61" t="s">
        <v>172</v>
      </c>
      <c r="K205">
        <v>1</v>
      </c>
      <c r="L205">
        <v>41000</v>
      </c>
    </row>
    <row r="206" spans="1:12" ht="15" customHeight="1" x14ac:dyDescent="0.2">
      <c r="A206">
        <v>0</v>
      </c>
      <c r="B206" t="s">
        <v>158</v>
      </c>
      <c r="C206" t="s">
        <v>12</v>
      </c>
      <c r="D206">
        <v>4013</v>
      </c>
      <c r="E206" t="s">
        <v>26</v>
      </c>
      <c r="F206">
        <v>0</v>
      </c>
      <c r="G206">
        <v>20200804</v>
      </c>
      <c r="H206" t="s">
        <v>161</v>
      </c>
      <c r="I206">
        <v>917</v>
      </c>
      <c r="J206" s="61" t="s">
        <v>185</v>
      </c>
      <c r="K206">
        <v>1</v>
      </c>
      <c r="L206">
        <v>41886</v>
      </c>
    </row>
    <row r="207" spans="1:12" ht="15" customHeight="1" x14ac:dyDescent="0.2">
      <c r="A207">
        <v>0</v>
      </c>
      <c r="B207" t="s">
        <v>158</v>
      </c>
      <c r="C207" t="s">
        <v>12</v>
      </c>
      <c r="D207">
        <v>4013</v>
      </c>
      <c r="E207" t="s">
        <v>26</v>
      </c>
      <c r="F207">
        <v>0</v>
      </c>
      <c r="G207">
        <v>20200804</v>
      </c>
      <c r="H207" t="s">
        <v>161</v>
      </c>
      <c r="I207">
        <v>917</v>
      </c>
      <c r="J207" s="61" t="s">
        <v>194</v>
      </c>
      <c r="K207">
        <v>1</v>
      </c>
      <c r="L207">
        <v>44000</v>
      </c>
    </row>
    <row r="208" spans="1:12" ht="15" customHeight="1" x14ac:dyDescent="0.2">
      <c r="A208">
        <v>0</v>
      </c>
      <c r="B208" t="s">
        <v>158</v>
      </c>
      <c r="C208" t="s">
        <v>12</v>
      </c>
      <c r="D208">
        <v>4013</v>
      </c>
      <c r="E208" t="s">
        <v>26</v>
      </c>
      <c r="F208">
        <v>0</v>
      </c>
      <c r="G208">
        <v>20200802</v>
      </c>
      <c r="H208" t="s">
        <v>161</v>
      </c>
      <c r="I208">
        <v>917</v>
      </c>
      <c r="J208" s="61" t="s">
        <v>171</v>
      </c>
      <c r="K208">
        <v>1</v>
      </c>
      <c r="L208">
        <v>44061</v>
      </c>
    </row>
    <row r="209" spans="1:12" ht="15" customHeight="1" x14ac:dyDescent="0.2">
      <c r="A209">
        <v>0</v>
      </c>
      <c r="B209" t="s">
        <v>158</v>
      </c>
      <c r="C209" t="s">
        <v>12</v>
      </c>
      <c r="D209">
        <v>4013</v>
      </c>
      <c r="E209" t="s">
        <v>26</v>
      </c>
      <c r="F209">
        <v>0</v>
      </c>
      <c r="G209">
        <v>20200804</v>
      </c>
      <c r="H209" t="s">
        <v>161</v>
      </c>
      <c r="I209">
        <v>917</v>
      </c>
      <c r="J209" s="61" t="s">
        <v>195</v>
      </c>
      <c r="K209">
        <v>1</v>
      </c>
      <c r="L209">
        <v>46000</v>
      </c>
    </row>
    <row r="210" spans="1:12" ht="15" customHeight="1" x14ac:dyDescent="0.2">
      <c r="A210">
        <v>0</v>
      </c>
      <c r="B210" t="s">
        <v>158</v>
      </c>
      <c r="C210" t="s">
        <v>12</v>
      </c>
      <c r="D210">
        <v>4013</v>
      </c>
      <c r="E210" t="s">
        <v>26</v>
      </c>
      <c r="F210">
        <v>0</v>
      </c>
      <c r="G210">
        <v>20200804</v>
      </c>
      <c r="H210" t="s">
        <v>161</v>
      </c>
      <c r="I210">
        <v>917</v>
      </c>
      <c r="J210" s="61" t="s">
        <v>172</v>
      </c>
      <c r="K210">
        <v>1</v>
      </c>
      <c r="L210">
        <v>47791</v>
      </c>
    </row>
    <row r="211" spans="1:12" ht="15" customHeight="1" x14ac:dyDescent="0.2">
      <c r="A211">
        <v>0</v>
      </c>
      <c r="B211" t="s">
        <v>158</v>
      </c>
      <c r="C211" t="s">
        <v>12</v>
      </c>
      <c r="D211">
        <v>4013</v>
      </c>
      <c r="E211" t="s">
        <v>26</v>
      </c>
      <c r="F211">
        <v>0</v>
      </c>
      <c r="G211">
        <v>20200804</v>
      </c>
      <c r="H211" t="s">
        <v>161</v>
      </c>
      <c r="I211">
        <v>917</v>
      </c>
      <c r="J211" s="61" t="s">
        <v>179</v>
      </c>
      <c r="K211">
        <v>1</v>
      </c>
      <c r="L211">
        <v>48000</v>
      </c>
    </row>
    <row r="212" spans="1:12" ht="15" customHeight="1" x14ac:dyDescent="0.2">
      <c r="A212">
        <v>0</v>
      </c>
      <c r="B212" t="s">
        <v>158</v>
      </c>
      <c r="C212" t="s">
        <v>12</v>
      </c>
      <c r="D212">
        <v>4013</v>
      </c>
      <c r="E212" t="s">
        <v>26</v>
      </c>
      <c r="F212">
        <v>0</v>
      </c>
      <c r="G212">
        <v>20200803</v>
      </c>
      <c r="H212" t="s">
        <v>161</v>
      </c>
      <c r="I212">
        <v>917</v>
      </c>
      <c r="J212" s="61" t="s">
        <v>171</v>
      </c>
      <c r="K212">
        <v>1</v>
      </c>
      <c r="L212">
        <v>49000</v>
      </c>
    </row>
    <row r="213" spans="1:12" ht="15" customHeight="1" x14ac:dyDescent="0.2">
      <c r="A213">
        <v>0</v>
      </c>
      <c r="B213" t="s">
        <v>158</v>
      </c>
      <c r="C213" t="s">
        <v>12</v>
      </c>
      <c r="D213">
        <v>4013</v>
      </c>
      <c r="E213" t="s">
        <v>26</v>
      </c>
      <c r="F213">
        <v>0</v>
      </c>
      <c r="G213">
        <v>20200801</v>
      </c>
      <c r="H213" t="s">
        <v>161</v>
      </c>
      <c r="I213">
        <v>917</v>
      </c>
      <c r="J213" s="61" t="s">
        <v>186</v>
      </c>
      <c r="K213">
        <v>1</v>
      </c>
      <c r="L213">
        <v>50000</v>
      </c>
    </row>
    <row r="214" spans="1:12" ht="15" customHeight="1" x14ac:dyDescent="0.2">
      <c r="A214">
        <v>0</v>
      </c>
      <c r="B214" t="s">
        <v>158</v>
      </c>
      <c r="C214" t="s">
        <v>12</v>
      </c>
      <c r="D214">
        <v>4013</v>
      </c>
      <c r="E214" t="s">
        <v>26</v>
      </c>
      <c r="F214">
        <v>0</v>
      </c>
      <c r="G214">
        <v>20200803</v>
      </c>
      <c r="H214" t="s">
        <v>161</v>
      </c>
      <c r="I214">
        <v>917</v>
      </c>
      <c r="J214" s="61" t="s">
        <v>196</v>
      </c>
      <c r="K214">
        <v>1</v>
      </c>
      <c r="L214">
        <v>50000</v>
      </c>
    </row>
    <row r="215" spans="1:12" ht="15" customHeight="1" x14ac:dyDescent="0.2">
      <c r="A215">
        <v>0</v>
      </c>
      <c r="B215" t="s">
        <v>158</v>
      </c>
      <c r="C215" t="s">
        <v>12</v>
      </c>
      <c r="D215">
        <v>4013</v>
      </c>
      <c r="E215" t="s">
        <v>26</v>
      </c>
      <c r="F215">
        <v>0</v>
      </c>
      <c r="G215">
        <v>20200803</v>
      </c>
      <c r="H215" t="s">
        <v>161</v>
      </c>
      <c r="I215">
        <v>917</v>
      </c>
      <c r="J215" s="61" t="s">
        <v>186</v>
      </c>
      <c r="K215">
        <v>1</v>
      </c>
      <c r="L215">
        <v>50000</v>
      </c>
    </row>
    <row r="216" spans="1:12" ht="15" customHeight="1" x14ac:dyDescent="0.2">
      <c r="A216">
        <v>0</v>
      </c>
      <c r="B216" t="s">
        <v>158</v>
      </c>
      <c r="C216" t="s">
        <v>12</v>
      </c>
      <c r="D216">
        <v>4013</v>
      </c>
      <c r="E216" t="s">
        <v>26</v>
      </c>
      <c r="F216">
        <v>0</v>
      </c>
      <c r="G216">
        <v>20200803</v>
      </c>
      <c r="H216" t="s">
        <v>161</v>
      </c>
      <c r="I216">
        <v>917</v>
      </c>
      <c r="J216" s="61" t="s">
        <v>186</v>
      </c>
      <c r="K216">
        <v>1</v>
      </c>
      <c r="L216">
        <v>50000</v>
      </c>
    </row>
    <row r="217" spans="1:12" ht="15" customHeight="1" x14ac:dyDescent="0.2">
      <c r="A217">
        <v>0</v>
      </c>
      <c r="B217" t="s">
        <v>158</v>
      </c>
      <c r="C217" t="s">
        <v>12</v>
      </c>
      <c r="D217">
        <v>4013</v>
      </c>
      <c r="E217" t="s">
        <v>26</v>
      </c>
      <c r="F217">
        <v>0</v>
      </c>
      <c r="G217">
        <v>20200803</v>
      </c>
      <c r="H217" t="s">
        <v>161</v>
      </c>
      <c r="I217">
        <v>917</v>
      </c>
      <c r="J217" s="61" t="s">
        <v>163</v>
      </c>
      <c r="K217">
        <v>1</v>
      </c>
      <c r="L217">
        <v>50000</v>
      </c>
    </row>
    <row r="218" spans="1:12" ht="15" customHeight="1" x14ac:dyDescent="0.2">
      <c r="A218">
        <v>0</v>
      </c>
      <c r="B218" t="s">
        <v>158</v>
      </c>
      <c r="C218" t="s">
        <v>12</v>
      </c>
      <c r="D218">
        <v>4013</v>
      </c>
      <c r="E218" t="s">
        <v>26</v>
      </c>
      <c r="F218">
        <v>0</v>
      </c>
      <c r="G218">
        <v>20200803</v>
      </c>
      <c r="H218" t="s">
        <v>161</v>
      </c>
      <c r="I218">
        <v>917</v>
      </c>
      <c r="J218" s="61" t="s">
        <v>197</v>
      </c>
      <c r="K218">
        <v>1</v>
      </c>
      <c r="L218">
        <v>50000</v>
      </c>
    </row>
    <row r="219" spans="1:12" ht="15" customHeight="1" x14ac:dyDescent="0.2">
      <c r="A219">
        <v>0</v>
      </c>
      <c r="B219" t="s">
        <v>158</v>
      </c>
      <c r="C219" t="s">
        <v>12</v>
      </c>
      <c r="D219">
        <v>4013</v>
      </c>
      <c r="E219" t="s">
        <v>26</v>
      </c>
      <c r="F219">
        <v>0</v>
      </c>
      <c r="G219">
        <v>20200803</v>
      </c>
      <c r="H219" t="s">
        <v>161</v>
      </c>
      <c r="I219">
        <v>917</v>
      </c>
      <c r="J219" s="61" t="s">
        <v>185</v>
      </c>
      <c r="K219">
        <v>1</v>
      </c>
      <c r="L219">
        <v>50000</v>
      </c>
    </row>
    <row r="220" spans="1:12" ht="15" customHeight="1" x14ac:dyDescent="0.2">
      <c r="A220">
        <v>0</v>
      </c>
      <c r="B220" t="s">
        <v>125</v>
      </c>
      <c r="C220" t="s">
        <v>12</v>
      </c>
      <c r="D220">
        <v>4013</v>
      </c>
      <c r="E220" t="s">
        <v>26</v>
      </c>
      <c r="F220">
        <v>0</v>
      </c>
      <c r="G220">
        <v>20200804</v>
      </c>
      <c r="H220" t="s">
        <v>127</v>
      </c>
      <c r="I220">
        <v>30</v>
      </c>
      <c r="J220" s="61" t="s">
        <v>198</v>
      </c>
      <c r="K220">
        <v>1</v>
      </c>
      <c r="L220">
        <v>50000</v>
      </c>
    </row>
    <row r="221" spans="1:12" ht="15" customHeight="1" x14ac:dyDescent="0.2">
      <c r="A221">
        <v>0</v>
      </c>
      <c r="B221" t="s">
        <v>158</v>
      </c>
      <c r="C221" t="s">
        <v>12</v>
      </c>
      <c r="D221">
        <v>4013</v>
      </c>
      <c r="E221" t="s">
        <v>26</v>
      </c>
      <c r="F221">
        <v>0</v>
      </c>
      <c r="G221">
        <v>20200804</v>
      </c>
      <c r="H221" t="s">
        <v>161</v>
      </c>
      <c r="I221">
        <v>917</v>
      </c>
      <c r="J221" s="61" t="s">
        <v>199</v>
      </c>
      <c r="K221">
        <v>1</v>
      </c>
      <c r="L221">
        <v>50000</v>
      </c>
    </row>
    <row r="222" spans="1:12" ht="15" customHeight="1" x14ac:dyDescent="0.2">
      <c r="A222">
        <v>0</v>
      </c>
      <c r="B222" t="s">
        <v>158</v>
      </c>
      <c r="C222" t="s">
        <v>12</v>
      </c>
      <c r="D222">
        <v>4013</v>
      </c>
      <c r="E222" t="s">
        <v>26</v>
      </c>
      <c r="F222">
        <v>0</v>
      </c>
      <c r="G222">
        <v>20200804</v>
      </c>
      <c r="H222" t="s">
        <v>161</v>
      </c>
      <c r="I222">
        <v>917</v>
      </c>
      <c r="J222" s="61" t="s">
        <v>196</v>
      </c>
      <c r="K222">
        <v>1</v>
      </c>
      <c r="L222">
        <v>50000</v>
      </c>
    </row>
    <row r="223" spans="1:12" ht="15" customHeight="1" x14ac:dyDescent="0.2">
      <c r="A223">
        <v>0</v>
      </c>
      <c r="B223" t="s">
        <v>125</v>
      </c>
      <c r="C223" t="s">
        <v>12</v>
      </c>
      <c r="D223">
        <v>6842</v>
      </c>
      <c r="E223" t="s">
        <v>157</v>
      </c>
      <c r="F223">
        <v>0</v>
      </c>
      <c r="G223">
        <v>20200804</v>
      </c>
      <c r="H223" t="s">
        <v>128</v>
      </c>
      <c r="I223">
        <v>39</v>
      </c>
      <c r="J223">
        <v>52223563</v>
      </c>
      <c r="K223">
        <v>1</v>
      </c>
      <c r="L223">
        <v>50000</v>
      </c>
    </row>
    <row r="224" spans="1:12" ht="15" customHeight="1" x14ac:dyDescent="0.2">
      <c r="A224">
        <v>0</v>
      </c>
      <c r="B224" t="s">
        <v>158</v>
      </c>
      <c r="C224" t="s">
        <v>12</v>
      </c>
      <c r="D224">
        <v>4013</v>
      </c>
      <c r="E224" t="s">
        <v>26</v>
      </c>
      <c r="F224">
        <v>0</v>
      </c>
      <c r="G224">
        <v>20200801</v>
      </c>
      <c r="H224" t="s">
        <v>161</v>
      </c>
      <c r="I224">
        <v>917</v>
      </c>
      <c r="J224" s="61" t="s">
        <v>185</v>
      </c>
      <c r="K224">
        <v>1</v>
      </c>
      <c r="L224">
        <v>50806</v>
      </c>
    </row>
    <row r="225" spans="1:12" ht="15" customHeight="1" x14ac:dyDescent="0.2">
      <c r="A225">
        <v>0</v>
      </c>
      <c r="B225" t="s">
        <v>158</v>
      </c>
      <c r="C225" t="s">
        <v>12</v>
      </c>
      <c r="D225">
        <v>4013</v>
      </c>
      <c r="E225" t="s">
        <v>26</v>
      </c>
      <c r="F225">
        <v>0</v>
      </c>
      <c r="G225">
        <v>20200803</v>
      </c>
      <c r="H225" t="s">
        <v>161</v>
      </c>
      <c r="I225">
        <v>917</v>
      </c>
      <c r="J225" s="61" t="s">
        <v>185</v>
      </c>
      <c r="K225">
        <v>1</v>
      </c>
      <c r="L225">
        <v>50812</v>
      </c>
    </row>
    <row r="226" spans="1:12" ht="15" customHeight="1" x14ac:dyDescent="0.2">
      <c r="A226">
        <v>0</v>
      </c>
      <c r="B226" t="s">
        <v>158</v>
      </c>
      <c r="C226" t="s">
        <v>12</v>
      </c>
      <c r="D226">
        <v>4013</v>
      </c>
      <c r="E226" t="s">
        <v>26</v>
      </c>
      <c r="F226">
        <v>0</v>
      </c>
      <c r="G226">
        <v>20200803</v>
      </c>
      <c r="H226" t="s">
        <v>161</v>
      </c>
      <c r="I226">
        <v>917</v>
      </c>
      <c r="J226" s="61" t="s">
        <v>172</v>
      </c>
      <c r="K226">
        <v>1</v>
      </c>
      <c r="L226">
        <v>51551</v>
      </c>
    </row>
    <row r="227" spans="1:12" ht="15" customHeight="1" x14ac:dyDescent="0.2">
      <c r="A227">
        <v>0</v>
      </c>
      <c r="B227" t="s">
        <v>158</v>
      </c>
      <c r="C227" t="s">
        <v>12</v>
      </c>
      <c r="D227">
        <v>4013</v>
      </c>
      <c r="E227" t="s">
        <v>26</v>
      </c>
      <c r="F227">
        <v>0</v>
      </c>
      <c r="G227">
        <v>20200801</v>
      </c>
      <c r="H227" t="s">
        <v>161</v>
      </c>
      <c r="I227">
        <v>917</v>
      </c>
      <c r="J227" s="61" t="s">
        <v>188</v>
      </c>
      <c r="K227">
        <v>1</v>
      </c>
      <c r="L227">
        <v>52000</v>
      </c>
    </row>
    <row r="228" spans="1:12" ht="15" customHeight="1" x14ac:dyDescent="0.2">
      <c r="A228">
        <v>0</v>
      </c>
      <c r="B228" t="s">
        <v>158</v>
      </c>
      <c r="C228" t="s">
        <v>12</v>
      </c>
      <c r="D228">
        <v>4013</v>
      </c>
      <c r="E228" t="s">
        <v>26</v>
      </c>
      <c r="F228">
        <v>0</v>
      </c>
      <c r="G228">
        <v>20200801</v>
      </c>
      <c r="H228" t="s">
        <v>161</v>
      </c>
      <c r="I228">
        <v>917</v>
      </c>
      <c r="J228" s="61" t="s">
        <v>188</v>
      </c>
      <c r="K228">
        <v>1</v>
      </c>
      <c r="L228">
        <v>52000</v>
      </c>
    </row>
    <row r="229" spans="1:12" ht="15" customHeight="1" x14ac:dyDescent="0.2">
      <c r="A229">
        <v>0</v>
      </c>
      <c r="B229" t="s">
        <v>158</v>
      </c>
      <c r="C229" t="s">
        <v>12</v>
      </c>
      <c r="D229">
        <v>4013</v>
      </c>
      <c r="E229" t="s">
        <v>26</v>
      </c>
      <c r="F229">
        <v>0</v>
      </c>
      <c r="G229">
        <v>20200801</v>
      </c>
      <c r="H229" t="s">
        <v>161</v>
      </c>
      <c r="I229">
        <v>917</v>
      </c>
      <c r="J229" s="61" t="s">
        <v>186</v>
      </c>
      <c r="K229">
        <v>1</v>
      </c>
      <c r="L229">
        <v>52000</v>
      </c>
    </row>
    <row r="230" spans="1:12" ht="15" customHeight="1" x14ac:dyDescent="0.2">
      <c r="A230">
        <v>0</v>
      </c>
      <c r="B230" t="s">
        <v>125</v>
      </c>
      <c r="C230" t="s">
        <v>12</v>
      </c>
      <c r="D230">
        <v>6842</v>
      </c>
      <c r="E230" t="s">
        <v>157</v>
      </c>
      <c r="F230">
        <v>0</v>
      </c>
      <c r="G230">
        <v>20200801</v>
      </c>
      <c r="H230" t="s">
        <v>128</v>
      </c>
      <c r="I230">
        <v>39</v>
      </c>
      <c r="J230">
        <v>1014211439</v>
      </c>
      <c r="K230">
        <v>1</v>
      </c>
      <c r="L230">
        <v>52000</v>
      </c>
    </row>
    <row r="231" spans="1:12" ht="15" customHeight="1" x14ac:dyDescent="0.2">
      <c r="A231">
        <v>0</v>
      </c>
      <c r="B231" t="s">
        <v>125</v>
      </c>
      <c r="C231" t="s">
        <v>12</v>
      </c>
      <c r="D231">
        <v>6842</v>
      </c>
      <c r="E231" t="s">
        <v>157</v>
      </c>
      <c r="F231">
        <v>0</v>
      </c>
      <c r="G231">
        <v>20200801</v>
      </c>
      <c r="H231" t="s">
        <v>128</v>
      </c>
      <c r="I231">
        <v>39</v>
      </c>
      <c r="J231">
        <v>52301072</v>
      </c>
      <c r="K231">
        <v>1</v>
      </c>
      <c r="L231">
        <v>52000</v>
      </c>
    </row>
    <row r="232" spans="1:12" ht="15" customHeight="1" x14ac:dyDescent="0.2">
      <c r="A232">
        <v>0</v>
      </c>
      <c r="B232" t="s">
        <v>158</v>
      </c>
      <c r="C232" t="s">
        <v>12</v>
      </c>
      <c r="D232">
        <v>4013</v>
      </c>
      <c r="E232" t="s">
        <v>26</v>
      </c>
      <c r="F232">
        <v>0</v>
      </c>
      <c r="G232">
        <v>20200802</v>
      </c>
      <c r="H232" t="s">
        <v>161</v>
      </c>
      <c r="I232">
        <v>917</v>
      </c>
      <c r="J232" s="61" t="s">
        <v>188</v>
      </c>
      <c r="K232">
        <v>1</v>
      </c>
      <c r="L232">
        <v>52000</v>
      </c>
    </row>
    <row r="233" spans="1:12" ht="15" customHeight="1" x14ac:dyDescent="0.2">
      <c r="A233">
        <v>0</v>
      </c>
      <c r="B233" t="s">
        <v>158</v>
      </c>
      <c r="C233" t="s">
        <v>12</v>
      </c>
      <c r="D233">
        <v>4013</v>
      </c>
      <c r="E233" t="s">
        <v>26</v>
      </c>
      <c r="F233">
        <v>0</v>
      </c>
      <c r="G233">
        <v>20200803</v>
      </c>
      <c r="H233" t="s">
        <v>161</v>
      </c>
      <c r="I233">
        <v>917</v>
      </c>
      <c r="J233" s="61" t="s">
        <v>188</v>
      </c>
      <c r="K233">
        <v>1</v>
      </c>
      <c r="L233">
        <v>52000</v>
      </c>
    </row>
    <row r="234" spans="1:12" ht="15" customHeight="1" x14ac:dyDescent="0.2">
      <c r="A234">
        <v>0</v>
      </c>
      <c r="B234" t="s">
        <v>158</v>
      </c>
      <c r="C234" t="s">
        <v>12</v>
      </c>
      <c r="D234">
        <v>4013</v>
      </c>
      <c r="E234" t="s">
        <v>26</v>
      </c>
      <c r="F234">
        <v>0</v>
      </c>
      <c r="G234">
        <v>20200803</v>
      </c>
      <c r="H234" t="s">
        <v>161</v>
      </c>
      <c r="I234">
        <v>917</v>
      </c>
      <c r="J234" s="61" t="s">
        <v>188</v>
      </c>
      <c r="K234">
        <v>1</v>
      </c>
      <c r="L234">
        <v>52000</v>
      </c>
    </row>
    <row r="235" spans="1:12" ht="15" customHeight="1" x14ac:dyDescent="0.2">
      <c r="A235">
        <v>0</v>
      </c>
      <c r="B235" t="s">
        <v>158</v>
      </c>
      <c r="C235" t="s">
        <v>12</v>
      </c>
      <c r="D235">
        <v>4013</v>
      </c>
      <c r="E235" t="s">
        <v>26</v>
      </c>
      <c r="F235">
        <v>0</v>
      </c>
      <c r="G235">
        <v>20200803</v>
      </c>
      <c r="H235" t="s">
        <v>161</v>
      </c>
      <c r="I235">
        <v>917</v>
      </c>
      <c r="J235" s="61" t="s">
        <v>186</v>
      </c>
      <c r="K235">
        <v>1</v>
      </c>
      <c r="L235">
        <v>52000</v>
      </c>
    </row>
    <row r="236" spans="1:12" ht="15" customHeight="1" x14ac:dyDescent="0.2">
      <c r="A236">
        <v>0</v>
      </c>
      <c r="B236" t="s">
        <v>158</v>
      </c>
      <c r="C236" t="s">
        <v>12</v>
      </c>
      <c r="D236">
        <v>4013</v>
      </c>
      <c r="E236" t="s">
        <v>26</v>
      </c>
      <c r="F236">
        <v>0</v>
      </c>
      <c r="G236">
        <v>20200803</v>
      </c>
      <c r="H236" t="s">
        <v>161</v>
      </c>
      <c r="I236">
        <v>917</v>
      </c>
      <c r="J236" s="61" t="s">
        <v>191</v>
      </c>
      <c r="K236">
        <v>1</v>
      </c>
      <c r="L236">
        <v>52000</v>
      </c>
    </row>
    <row r="237" spans="1:12" ht="15" customHeight="1" x14ac:dyDescent="0.2">
      <c r="A237">
        <v>0</v>
      </c>
      <c r="B237" t="s">
        <v>158</v>
      </c>
      <c r="C237" t="s">
        <v>12</v>
      </c>
      <c r="D237">
        <v>4013</v>
      </c>
      <c r="E237" t="s">
        <v>26</v>
      </c>
      <c r="F237">
        <v>0</v>
      </c>
      <c r="G237">
        <v>20200803</v>
      </c>
      <c r="H237" t="s">
        <v>161</v>
      </c>
      <c r="I237">
        <v>917</v>
      </c>
      <c r="J237" s="61" t="s">
        <v>186</v>
      </c>
      <c r="K237">
        <v>1</v>
      </c>
      <c r="L237">
        <v>52000</v>
      </c>
    </row>
    <row r="238" spans="1:12" ht="15" customHeight="1" x14ac:dyDescent="0.2">
      <c r="A238">
        <v>0</v>
      </c>
      <c r="B238" t="s">
        <v>125</v>
      </c>
      <c r="C238" t="s">
        <v>12</v>
      </c>
      <c r="D238">
        <v>6842</v>
      </c>
      <c r="E238" t="s">
        <v>157</v>
      </c>
      <c r="F238">
        <v>0</v>
      </c>
      <c r="G238">
        <v>20200803</v>
      </c>
      <c r="H238" t="s">
        <v>128</v>
      </c>
      <c r="I238">
        <v>39</v>
      </c>
      <c r="J238">
        <v>35457847</v>
      </c>
      <c r="K238">
        <v>1</v>
      </c>
      <c r="L238">
        <v>52000</v>
      </c>
    </row>
    <row r="239" spans="1:12" ht="15" customHeight="1" x14ac:dyDescent="0.2">
      <c r="A239">
        <v>0</v>
      </c>
      <c r="B239" t="s">
        <v>125</v>
      </c>
      <c r="C239" t="s">
        <v>12</v>
      </c>
      <c r="D239">
        <v>6842</v>
      </c>
      <c r="E239" t="s">
        <v>157</v>
      </c>
      <c r="F239">
        <v>0</v>
      </c>
      <c r="G239">
        <v>20200803</v>
      </c>
      <c r="H239" t="s">
        <v>128</v>
      </c>
      <c r="I239">
        <v>39</v>
      </c>
      <c r="J239">
        <v>1023017514</v>
      </c>
      <c r="K239">
        <v>1</v>
      </c>
      <c r="L239">
        <v>52000</v>
      </c>
    </row>
    <row r="240" spans="1:12" ht="15" customHeight="1" x14ac:dyDescent="0.2">
      <c r="A240">
        <v>0</v>
      </c>
      <c r="B240" t="s">
        <v>158</v>
      </c>
      <c r="C240" t="s">
        <v>12</v>
      </c>
      <c r="D240">
        <v>4013</v>
      </c>
      <c r="E240" t="s">
        <v>26</v>
      </c>
      <c r="F240">
        <v>0</v>
      </c>
      <c r="G240">
        <v>20200804</v>
      </c>
      <c r="H240" t="s">
        <v>161</v>
      </c>
      <c r="I240">
        <v>917</v>
      </c>
      <c r="J240" s="61" t="s">
        <v>188</v>
      </c>
      <c r="K240">
        <v>1</v>
      </c>
      <c r="L240">
        <v>52000</v>
      </c>
    </row>
    <row r="241" spans="1:12" ht="15" customHeight="1" x14ac:dyDescent="0.2">
      <c r="A241">
        <v>0</v>
      </c>
      <c r="B241" t="s">
        <v>158</v>
      </c>
      <c r="C241" t="s">
        <v>12</v>
      </c>
      <c r="D241">
        <v>4013</v>
      </c>
      <c r="E241" t="s">
        <v>26</v>
      </c>
      <c r="F241">
        <v>0</v>
      </c>
      <c r="G241">
        <v>20200804</v>
      </c>
      <c r="H241" t="s">
        <v>161</v>
      </c>
      <c r="I241">
        <v>917</v>
      </c>
      <c r="J241" s="61" t="s">
        <v>188</v>
      </c>
      <c r="K241">
        <v>1</v>
      </c>
      <c r="L241">
        <v>52000</v>
      </c>
    </row>
    <row r="242" spans="1:12" ht="15" customHeight="1" x14ac:dyDescent="0.2">
      <c r="A242">
        <v>0</v>
      </c>
      <c r="B242" t="s">
        <v>158</v>
      </c>
      <c r="C242" t="s">
        <v>12</v>
      </c>
      <c r="D242">
        <v>4013</v>
      </c>
      <c r="E242" t="s">
        <v>26</v>
      </c>
      <c r="F242">
        <v>0</v>
      </c>
      <c r="G242">
        <v>20200804</v>
      </c>
      <c r="H242" t="s">
        <v>161</v>
      </c>
      <c r="I242">
        <v>917</v>
      </c>
      <c r="J242" s="61" t="s">
        <v>186</v>
      </c>
      <c r="K242">
        <v>1</v>
      </c>
      <c r="L242">
        <v>52000</v>
      </c>
    </row>
    <row r="243" spans="1:12" ht="15" customHeight="1" x14ac:dyDescent="0.2">
      <c r="A243">
        <v>0</v>
      </c>
      <c r="B243" t="s">
        <v>158</v>
      </c>
      <c r="C243" t="s">
        <v>12</v>
      </c>
      <c r="D243">
        <v>4013</v>
      </c>
      <c r="E243" t="s">
        <v>26</v>
      </c>
      <c r="F243">
        <v>0</v>
      </c>
      <c r="G243">
        <v>20200804</v>
      </c>
      <c r="H243" t="s">
        <v>161</v>
      </c>
      <c r="I243">
        <v>917</v>
      </c>
      <c r="J243" s="61" t="s">
        <v>186</v>
      </c>
      <c r="K243">
        <v>1</v>
      </c>
      <c r="L243">
        <v>52000</v>
      </c>
    </row>
    <row r="244" spans="1:12" ht="15" customHeight="1" x14ac:dyDescent="0.2">
      <c r="A244">
        <v>0</v>
      </c>
      <c r="B244" t="s">
        <v>125</v>
      </c>
      <c r="C244" t="s">
        <v>12</v>
      </c>
      <c r="D244">
        <v>6842</v>
      </c>
      <c r="E244" t="s">
        <v>157</v>
      </c>
      <c r="F244">
        <v>0</v>
      </c>
      <c r="G244">
        <v>20200804</v>
      </c>
      <c r="H244" t="s">
        <v>128</v>
      </c>
      <c r="I244">
        <v>39</v>
      </c>
      <c r="J244">
        <v>52982278</v>
      </c>
      <c r="K244">
        <v>1</v>
      </c>
      <c r="L244">
        <v>52000</v>
      </c>
    </row>
    <row r="245" spans="1:12" ht="15" customHeight="1" x14ac:dyDescent="0.2">
      <c r="A245">
        <v>0</v>
      </c>
      <c r="B245" t="s">
        <v>158</v>
      </c>
      <c r="C245" t="s">
        <v>12</v>
      </c>
      <c r="D245">
        <v>4013</v>
      </c>
      <c r="E245" t="s">
        <v>26</v>
      </c>
      <c r="F245">
        <v>0</v>
      </c>
      <c r="G245">
        <v>20200803</v>
      </c>
      <c r="H245" t="s">
        <v>161</v>
      </c>
      <c r="I245">
        <v>917</v>
      </c>
      <c r="J245" s="61" t="s">
        <v>163</v>
      </c>
      <c r="K245">
        <v>1</v>
      </c>
      <c r="L245">
        <v>54000</v>
      </c>
    </row>
    <row r="246" spans="1:12" ht="15" customHeight="1" x14ac:dyDescent="0.2">
      <c r="A246">
        <v>0</v>
      </c>
      <c r="B246" t="s">
        <v>125</v>
      </c>
      <c r="C246" t="s">
        <v>12</v>
      </c>
      <c r="D246">
        <v>6842</v>
      </c>
      <c r="E246" t="s">
        <v>157</v>
      </c>
      <c r="F246">
        <v>0</v>
      </c>
      <c r="G246">
        <v>20200801</v>
      </c>
      <c r="H246" t="s">
        <v>128</v>
      </c>
      <c r="I246">
        <v>39</v>
      </c>
      <c r="J246">
        <v>52479811</v>
      </c>
      <c r="K246">
        <v>1</v>
      </c>
      <c r="L246">
        <v>55000</v>
      </c>
    </row>
    <row r="247" spans="1:12" ht="15" customHeight="1" x14ac:dyDescent="0.2">
      <c r="A247">
        <v>0</v>
      </c>
      <c r="B247" t="s">
        <v>158</v>
      </c>
      <c r="C247" t="s">
        <v>12</v>
      </c>
      <c r="D247">
        <v>4013</v>
      </c>
      <c r="E247" t="s">
        <v>26</v>
      </c>
      <c r="F247">
        <v>0</v>
      </c>
      <c r="G247">
        <v>20200803</v>
      </c>
      <c r="H247" t="s">
        <v>161</v>
      </c>
      <c r="I247">
        <v>917</v>
      </c>
      <c r="J247" s="61" t="s">
        <v>200</v>
      </c>
      <c r="K247">
        <v>1</v>
      </c>
      <c r="L247">
        <v>57050</v>
      </c>
    </row>
    <row r="248" spans="1:12" ht="15" customHeight="1" x14ac:dyDescent="0.2">
      <c r="A248">
        <v>0</v>
      </c>
      <c r="B248" t="s">
        <v>158</v>
      </c>
      <c r="C248" t="s">
        <v>12</v>
      </c>
      <c r="D248">
        <v>4013</v>
      </c>
      <c r="E248" t="s">
        <v>26</v>
      </c>
      <c r="F248">
        <v>0</v>
      </c>
      <c r="G248">
        <v>20200801</v>
      </c>
      <c r="H248" t="s">
        <v>161</v>
      </c>
      <c r="I248">
        <v>917</v>
      </c>
      <c r="J248" s="61" t="s">
        <v>179</v>
      </c>
      <c r="K248">
        <v>1</v>
      </c>
      <c r="L248">
        <v>60000</v>
      </c>
    </row>
    <row r="249" spans="1:12" ht="15" customHeight="1" x14ac:dyDescent="0.2">
      <c r="A249">
        <v>0</v>
      </c>
      <c r="B249" t="s">
        <v>125</v>
      </c>
      <c r="C249" t="s">
        <v>12</v>
      </c>
      <c r="D249">
        <v>6842</v>
      </c>
      <c r="E249" t="s">
        <v>157</v>
      </c>
      <c r="F249">
        <v>0</v>
      </c>
      <c r="G249">
        <v>20200803</v>
      </c>
      <c r="H249" t="s">
        <v>128</v>
      </c>
      <c r="I249">
        <v>39</v>
      </c>
      <c r="J249">
        <v>52384140</v>
      </c>
      <c r="K249">
        <v>1</v>
      </c>
      <c r="L249">
        <v>60000</v>
      </c>
    </row>
    <row r="250" spans="1:12" ht="15" customHeight="1" x14ac:dyDescent="0.2">
      <c r="A250">
        <v>0</v>
      </c>
      <c r="B250" t="s">
        <v>158</v>
      </c>
      <c r="C250" t="s">
        <v>12</v>
      </c>
      <c r="D250">
        <v>4013</v>
      </c>
      <c r="E250" t="s">
        <v>26</v>
      </c>
      <c r="F250">
        <v>0</v>
      </c>
      <c r="G250">
        <v>20200804</v>
      </c>
      <c r="H250" t="s">
        <v>161</v>
      </c>
      <c r="I250">
        <v>917</v>
      </c>
      <c r="J250" s="61" t="s">
        <v>201</v>
      </c>
      <c r="K250">
        <v>1</v>
      </c>
      <c r="L250">
        <v>60000</v>
      </c>
    </row>
    <row r="251" spans="1:12" ht="15" customHeight="1" x14ac:dyDescent="0.2">
      <c r="A251">
        <v>0</v>
      </c>
      <c r="B251" t="s">
        <v>158</v>
      </c>
      <c r="C251" t="s">
        <v>12</v>
      </c>
      <c r="D251">
        <v>4013</v>
      </c>
      <c r="E251" t="s">
        <v>26</v>
      </c>
      <c r="F251">
        <v>0</v>
      </c>
      <c r="G251">
        <v>20200804</v>
      </c>
      <c r="H251" t="s">
        <v>161</v>
      </c>
      <c r="I251">
        <v>917</v>
      </c>
      <c r="J251" s="61" t="s">
        <v>188</v>
      </c>
      <c r="K251">
        <v>1</v>
      </c>
      <c r="L251">
        <v>60000</v>
      </c>
    </row>
    <row r="252" spans="1:12" ht="15" customHeight="1" x14ac:dyDescent="0.2">
      <c r="A252">
        <v>0</v>
      </c>
      <c r="B252" t="s">
        <v>173</v>
      </c>
      <c r="C252" t="s">
        <v>12</v>
      </c>
      <c r="D252">
        <v>4017</v>
      </c>
      <c r="E252" t="s">
        <v>29</v>
      </c>
      <c r="F252">
        <v>0</v>
      </c>
      <c r="G252">
        <v>20200803</v>
      </c>
      <c r="H252" t="s">
        <v>173</v>
      </c>
      <c r="I252">
        <v>70</v>
      </c>
      <c r="J252" s="61" t="s">
        <v>171</v>
      </c>
      <c r="K252">
        <v>1</v>
      </c>
      <c r="L252">
        <v>61408</v>
      </c>
    </row>
    <row r="253" spans="1:12" ht="15" customHeight="1" x14ac:dyDescent="0.2">
      <c r="A253">
        <v>0</v>
      </c>
      <c r="B253" t="s">
        <v>125</v>
      </c>
      <c r="C253" t="s">
        <v>12</v>
      </c>
      <c r="D253">
        <v>6842</v>
      </c>
      <c r="E253" t="s">
        <v>157</v>
      </c>
      <c r="F253">
        <v>0</v>
      </c>
      <c r="G253">
        <v>20200803</v>
      </c>
      <c r="H253" t="s">
        <v>128</v>
      </c>
      <c r="I253">
        <v>39</v>
      </c>
      <c r="J253">
        <v>1016013150</v>
      </c>
      <c r="K253">
        <v>1</v>
      </c>
      <c r="L253">
        <v>64090</v>
      </c>
    </row>
    <row r="254" spans="1:12" ht="15" customHeight="1" x14ac:dyDescent="0.2">
      <c r="A254">
        <v>0</v>
      </c>
      <c r="B254" t="s">
        <v>125</v>
      </c>
      <c r="C254" t="s">
        <v>12</v>
      </c>
      <c r="D254">
        <v>6842</v>
      </c>
      <c r="E254" t="s">
        <v>157</v>
      </c>
      <c r="F254">
        <v>0</v>
      </c>
      <c r="G254">
        <v>20200801</v>
      </c>
      <c r="H254" t="s">
        <v>128</v>
      </c>
      <c r="I254">
        <v>39</v>
      </c>
      <c r="J254">
        <v>53015113</v>
      </c>
      <c r="K254">
        <v>1</v>
      </c>
      <c r="L254">
        <v>65000</v>
      </c>
    </row>
    <row r="255" spans="1:12" ht="15" customHeight="1" x14ac:dyDescent="0.2">
      <c r="A255">
        <v>0</v>
      </c>
      <c r="B255" t="s">
        <v>158</v>
      </c>
      <c r="C255" t="s">
        <v>12</v>
      </c>
      <c r="D255">
        <v>4013</v>
      </c>
      <c r="E255" t="s">
        <v>26</v>
      </c>
      <c r="F255">
        <v>0</v>
      </c>
      <c r="G255">
        <v>20200803</v>
      </c>
      <c r="H255" t="s">
        <v>161</v>
      </c>
      <c r="I255">
        <v>917</v>
      </c>
      <c r="J255" s="61" t="s">
        <v>171</v>
      </c>
      <c r="K255">
        <v>1</v>
      </c>
      <c r="L255">
        <v>67676</v>
      </c>
    </row>
    <row r="256" spans="1:12" ht="15" customHeight="1" x14ac:dyDescent="0.2">
      <c r="A256">
        <v>0</v>
      </c>
      <c r="B256" t="s">
        <v>158</v>
      </c>
      <c r="C256" t="s">
        <v>12</v>
      </c>
      <c r="D256">
        <v>4013</v>
      </c>
      <c r="E256" t="s">
        <v>26</v>
      </c>
      <c r="F256">
        <v>0</v>
      </c>
      <c r="G256">
        <v>20200803</v>
      </c>
      <c r="H256" t="s">
        <v>161</v>
      </c>
      <c r="I256">
        <v>917</v>
      </c>
      <c r="J256" s="61" t="s">
        <v>172</v>
      </c>
      <c r="K256">
        <v>1</v>
      </c>
      <c r="L256">
        <v>68000</v>
      </c>
    </row>
    <row r="257" spans="1:12" ht="15" customHeight="1" x14ac:dyDescent="0.2">
      <c r="A257">
        <v>0</v>
      </c>
      <c r="B257" t="s">
        <v>158</v>
      </c>
      <c r="C257" t="s">
        <v>12</v>
      </c>
      <c r="D257">
        <v>4013</v>
      </c>
      <c r="E257" t="s">
        <v>26</v>
      </c>
      <c r="F257">
        <v>0</v>
      </c>
      <c r="G257">
        <v>20200804</v>
      </c>
      <c r="H257" t="s">
        <v>161</v>
      </c>
      <c r="I257">
        <v>917</v>
      </c>
      <c r="J257" s="61" t="s">
        <v>172</v>
      </c>
      <c r="K257">
        <v>1</v>
      </c>
      <c r="L257">
        <v>68905</v>
      </c>
    </row>
    <row r="258" spans="1:12" ht="15" customHeight="1" x14ac:dyDescent="0.2">
      <c r="A258">
        <v>0</v>
      </c>
      <c r="B258" t="s">
        <v>158</v>
      </c>
      <c r="C258" t="s">
        <v>12</v>
      </c>
      <c r="D258">
        <v>4013</v>
      </c>
      <c r="E258" t="s">
        <v>26</v>
      </c>
      <c r="F258">
        <v>0</v>
      </c>
      <c r="G258">
        <v>20200803</v>
      </c>
      <c r="H258" t="s">
        <v>161</v>
      </c>
      <c r="I258">
        <v>917</v>
      </c>
      <c r="J258" s="61" t="s">
        <v>171</v>
      </c>
      <c r="K258">
        <v>1</v>
      </c>
      <c r="L258">
        <v>69511</v>
      </c>
    </row>
    <row r="259" spans="1:12" ht="15" customHeight="1" x14ac:dyDescent="0.2">
      <c r="A259">
        <v>0</v>
      </c>
      <c r="B259" t="s">
        <v>158</v>
      </c>
      <c r="C259" t="s">
        <v>12</v>
      </c>
      <c r="D259">
        <v>4013</v>
      </c>
      <c r="E259" t="s">
        <v>26</v>
      </c>
      <c r="F259">
        <v>0</v>
      </c>
      <c r="G259">
        <v>20200804</v>
      </c>
      <c r="H259" t="s">
        <v>161</v>
      </c>
      <c r="I259">
        <v>917</v>
      </c>
      <c r="J259" s="61" t="s">
        <v>171</v>
      </c>
      <c r="K259">
        <v>1</v>
      </c>
      <c r="L259">
        <v>69800</v>
      </c>
    </row>
    <row r="260" spans="1:12" ht="15" customHeight="1" x14ac:dyDescent="0.2">
      <c r="A260">
        <v>0</v>
      </c>
      <c r="B260" t="s">
        <v>158</v>
      </c>
      <c r="C260" t="s">
        <v>12</v>
      </c>
      <c r="D260">
        <v>4013</v>
      </c>
      <c r="E260" t="s">
        <v>26</v>
      </c>
      <c r="F260">
        <v>0</v>
      </c>
      <c r="G260">
        <v>20200803</v>
      </c>
      <c r="H260" t="s">
        <v>161</v>
      </c>
      <c r="I260">
        <v>917</v>
      </c>
      <c r="J260" s="61" t="s">
        <v>172</v>
      </c>
      <c r="K260">
        <v>1</v>
      </c>
      <c r="L260">
        <v>70000</v>
      </c>
    </row>
    <row r="261" spans="1:12" ht="15" customHeight="1" x14ac:dyDescent="0.2">
      <c r="A261">
        <v>0</v>
      </c>
      <c r="B261" t="s">
        <v>158</v>
      </c>
      <c r="C261" t="s">
        <v>12</v>
      </c>
      <c r="D261">
        <v>4013</v>
      </c>
      <c r="E261" t="s">
        <v>26</v>
      </c>
      <c r="F261">
        <v>0</v>
      </c>
      <c r="G261">
        <v>20200804</v>
      </c>
      <c r="H261" t="s">
        <v>161</v>
      </c>
      <c r="I261">
        <v>917</v>
      </c>
      <c r="J261" s="61" t="s">
        <v>201</v>
      </c>
      <c r="K261">
        <v>1</v>
      </c>
      <c r="L261">
        <v>73300</v>
      </c>
    </row>
    <row r="262" spans="1:12" ht="15" customHeight="1" x14ac:dyDescent="0.2">
      <c r="A262">
        <v>0</v>
      </c>
      <c r="B262" t="s">
        <v>158</v>
      </c>
      <c r="C262" t="s">
        <v>12</v>
      </c>
      <c r="D262">
        <v>4013</v>
      </c>
      <c r="E262" t="s">
        <v>26</v>
      </c>
      <c r="F262">
        <v>0</v>
      </c>
      <c r="G262">
        <v>20200804</v>
      </c>
      <c r="H262" t="s">
        <v>161</v>
      </c>
      <c r="I262">
        <v>917</v>
      </c>
      <c r="J262" s="61" t="s">
        <v>202</v>
      </c>
      <c r="K262">
        <v>1</v>
      </c>
      <c r="L262">
        <v>73854</v>
      </c>
    </row>
    <row r="263" spans="1:12" ht="15" customHeight="1" x14ac:dyDescent="0.2">
      <c r="A263">
        <v>0</v>
      </c>
      <c r="B263" t="s">
        <v>158</v>
      </c>
      <c r="C263" t="s">
        <v>12</v>
      </c>
      <c r="D263">
        <v>4013</v>
      </c>
      <c r="E263" t="s">
        <v>26</v>
      </c>
      <c r="F263">
        <v>0</v>
      </c>
      <c r="G263">
        <v>20200804</v>
      </c>
      <c r="H263" t="s">
        <v>161</v>
      </c>
      <c r="I263">
        <v>917</v>
      </c>
      <c r="J263" s="61" t="s">
        <v>191</v>
      </c>
      <c r="K263">
        <v>1</v>
      </c>
      <c r="L263">
        <v>78024</v>
      </c>
    </row>
    <row r="264" spans="1:12" ht="15" customHeight="1" x14ac:dyDescent="0.2">
      <c r="A264">
        <v>0</v>
      </c>
      <c r="B264" t="s">
        <v>125</v>
      </c>
      <c r="C264" t="s">
        <v>12</v>
      </c>
      <c r="D264">
        <v>6842</v>
      </c>
      <c r="E264" t="s">
        <v>157</v>
      </c>
      <c r="F264">
        <v>0</v>
      </c>
      <c r="G264">
        <v>20200802</v>
      </c>
      <c r="H264" t="s">
        <v>128</v>
      </c>
      <c r="I264">
        <v>39</v>
      </c>
      <c r="J264">
        <v>1016003700</v>
      </c>
      <c r="K264">
        <v>1</v>
      </c>
      <c r="L264">
        <v>80000</v>
      </c>
    </row>
    <row r="265" spans="1:12" ht="15" customHeight="1" x14ac:dyDescent="0.2">
      <c r="A265">
        <v>0</v>
      </c>
      <c r="B265" t="s">
        <v>158</v>
      </c>
      <c r="C265" t="s">
        <v>12</v>
      </c>
      <c r="D265">
        <v>4013</v>
      </c>
      <c r="E265" t="s">
        <v>26</v>
      </c>
      <c r="F265">
        <v>0</v>
      </c>
      <c r="G265">
        <v>20200804</v>
      </c>
      <c r="H265" t="s">
        <v>161</v>
      </c>
      <c r="I265">
        <v>917</v>
      </c>
      <c r="J265" s="61" t="s">
        <v>171</v>
      </c>
      <c r="K265">
        <v>1</v>
      </c>
      <c r="L265">
        <v>80100</v>
      </c>
    </row>
    <row r="266" spans="1:12" ht="15" customHeight="1" x14ac:dyDescent="0.2">
      <c r="A266">
        <v>0</v>
      </c>
      <c r="B266" t="s">
        <v>158</v>
      </c>
      <c r="C266" t="s">
        <v>12</v>
      </c>
      <c r="D266">
        <v>4013</v>
      </c>
      <c r="E266" t="s">
        <v>26</v>
      </c>
      <c r="F266">
        <v>0</v>
      </c>
      <c r="G266">
        <v>20200803</v>
      </c>
      <c r="H266" t="s">
        <v>161</v>
      </c>
      <c r="I266">
        <v>917</v>
      </c>
      <c r="J266" s="61" t="s">
        <v>166</v>
      </c>
      <c r="K266">
        <v>1</v>
      </c>
      <c r="L266">
        <v>83558</v>
      </c>
    </row>
    <row r="267" spans="1:12" ht="15" customHeight="1" x14ac:dyDescent="0.2">
      <c r="A267">
        <v>0</v>
      </c>
      <c r="B267" t="s">
        <v>125</v>
      </c>
      <c r="C267" t="s">
        <v>12</v>
      </c>
      <c r="D267">
        <v>6842</v>
      </c>
      <c r="E267" t="s">
        <v>157</v>
      </c>
      <c r="F267">
        <v>0</v>
      </c>
      <c r="G267">
        <v>20200803</v>
      </c>
      <c r="H267" t="s">
        <v>128</v>
      </c>
      <c r="I267">
        <v>39</v>
      </c>
      <c r="J267">
        <v>1057595794</v>
      </c>
      <c r="K267">
        <v>1</v>
      </c>
      <c r="L267">
        <v>85500</v>
      </c>
    </row>
    <row r="268" spans="1:12" ht="15" customHeight="1" x14ac:dyDescent="0.2">
      <c r="A268">
        <v>0</v>
      </c>
      <c r="B268" t="s">
        <v>158</v>
      </c>
      <c r="C268" t="s">
        <v>12</v>
      </c>
      <c r="D268">
        <v>4013</v>
      </c>
      <c r="E268" t="s">
        <v>26</v>
      </c>
      <c r="F268">
        <v>0</v>
      </c>
      <c r="G268">
        <v>20200804</v>
      </c>
      <c r="H268" t="s">
        <v>161</v>
      </c>
      <c r="I268">
        <v>917</v>
      </c>
      <c r="J268" s="61" t="s">
        <v>171</v>
      </c>
      <c r="K268">
        <v>1</v>
      </c>
      <c r="L268">
        <v>86241</v>
      </c>
    </row>
    <row r="269" spans="1:12" ht="15" customHeight="1" x14ac:dyDescent="0.2">
      <c r="A269">
        <v>0</v>
      </c>
      <c r="B269" t="s">
        <v>158</v>
      </c>
      <c r="C269" t="s">
        <v>12</v>
      </c>
      <c r="D269">
        <v>4013</v>
      </c>
      <c r="E269" t="s">
        <v>26</v>
      </c>
      <c r="F269">
        <v>0</v>
      </c>
      <c r="G269">
        <v>20200804</v>
      </c>
      <c r="H269" t="s">
        <v>161</v>
      </c>
      <c r="I269">
        <v>917</v>
      </c>
      <c r="J269" s="61" t="s">
        <v>172</v>
      </c>
      <c r="K269">
        <v>1</v>
      </c>
      <c r="L269">
        <v>87286</v>
      </c>
    </row>
    <row r="270" spans="1:12" ht="15" customHeight="1" x14ac:dyDescent="0.2">
      <c r="A270">
        <v>0</v>
      </c>
      <c r="B270" t="s">
        <v>158</v>
      </c>
      <c r="C270" t="s">
        <v>12</v>
      </c>
      <c r="D270">
        <v>4013</v>
      </c>
      <c r="E270" t="s">
        <v>26</v>
      </c>
      <c r="F270">
        <v>0</v>
      </c>
      <c r="G270">
        <v>20200804</v>
      </c>
      <c r="H270" t="s">
        <v>161</v>
      </c>
      <c r="I270">
        <v>917</v>
      </c>
      <c r="J270" s="61" t="s">
        <v>172</v>
      </c>
      <c r="K270">
        <v>1</v>
      </c>
      <c r="L270">
        <v>88000</v>
      </c>
    </row>
    <row r="271" spans="1:12" ht="15" customHeight="1" x14ac:dyDescent="0.2">
      <c r="A271">
        <v>0</v>
      </c>
      <c r="B271" t="s">
        <v>158</v>
      </c>
      <c r="C271" t="s">
        <v>12</v>
      </c>
      <c r="D271">
        <v>4013</v>
      </c>
      <c r="E271" t="s">
        <v>26</v>
      </c>
      <c r="F271">
        <v>0</v>
      </c>
      <c r="G271">
        <v>20200804</v>
      </c>
      <c r="H271" t="s">
        <v>161</v>
      </c>
      <c r="I271">
        <v>917</v>
      </c>
      <c r="J271" s="61" t="s">
        <v>171</v>
      </c>
      <c r="K271">
        <v>1</v>
      </c>
      <c r="L271">
        <v>89000</v>
      </c>
    </row>
    <row r="272" spans="1:12" ht="15" customHeight="1" x14ac:dyDescent="0.2">
      <c r="A272">
        <v>0</v>
      </c>
      <c r="B272" t="s">
        <v>125</v>
      </c>
      <c r="C272" t="s">
        <v>12</v>
      </c>
      <c r="D272">
        <v>6842</v>
      </c>
      <c r="E272" t="s">
        <v>157</v>
      </c>
      <c r="F272">
        <v>0</v>
      </c>
      <c r="G272">
        <v>20200802</v>
      </c>
      <c r="H272" t="s">
        <v>128</v>
      </c>
      <c r="I272">
        <v>39</v>
      </c>
      <c r="J272">
        <v>51793751</v>
      </c>
      <c r="K272">
        <v>1</v>
      </c>
      <c r="L272">
        <v>89930</v>
      </c>
    </row>
    <row r="273" spans="1:12" ht="15" customHeight="1" x14ac:dyDescent="0.2">
      <c r="A273">
        <v>0</v>
      </c>
      <c r="B273" t="s">
        <v>125</v>
      </c>
      <c r="C273" t="s">
        <v>12</v>
      </c>
      <c r="D273">
        <v>6842</v>
      </c>
      <c r="E273" t="s">
        <v>157</v>
      </c>
      <c r="F273">
        <v>0</v>
      </c>
      <c r="G273">
        <v>20200802</v>
      </c>
      <c r="H273" t="s">
        <v>128</v>
      </c>
      <c r="I273">
        <v>39</v>
      </c>
      <c r="J273">
        <v>1012341396</v>
      </c>
      <c r="K273">
        <v>1</v>
      </c>
      <c r="L273">
        <v>90000</v>
      </c>
    </row>
    <row r="274" spans="1:12" ht="15" customHeight="1" x14ac:dyDescent="0.2">
      <c r="A274">
        <v>0</v>
      </c>
      <c r="B274" t="s">
        <v>158</v>
      </c>
      <c r="C274" t="s">
        <v>12</v>
      </c>
      <c r="D274">
        <v>4013</v>
      </c>
      <c r="E274" t="s">
        <v>26</v>
      </c>
      <c r="F274">
        <v>0</v>
      </c>
      <c r="G274">
        <v>20200803</v>
      </c>
      <c r="H274" t="s">
        <v>161</v>
      </c>
      <c r="I274">
        <v>917</v>
      </c>
      <c r="J274" s="61" t="s">
        <v>203</v>
      </c>
      <c r="K274">
        <v>1</v>
      </c>
      <c r="L274">
        <v>90400</v>
      </c>
    </row>
    <row r="275" spans="1:12" ht="15" customHeight="1" x14ac:dyDescent="0.2">
      <c r="A275">
        <v>0</v>
      </c>
      <c r="B275" t="s">
        <v>158</v>
      </c>
      <c r="C275" t="s">
        <v>12</v>
      </c>
      <c r="D275">
        <v>4013</v>
      </c>
      <c r="E275" t="s">
        <v>26</v>
      </c>
      <c r="F275">
        <v>0</v>
      </c>
      <c r="G275">
        <v>20200804</v>
      </c>
      <c r="H275" t="s">
        <v>161</v>
      </c>
      <c r="I275">
        <v>917</v>
      </c>
      <c r="J275" s="61" t="s">
        <v>171</v>
      </c>
      <c r="K275">
        <v>1</v>
      </c>
      <c r="L275">
        <v>95936</v>
      </c>
    </row>
    <row r="276" spans="1:12" ht="15" customHeight="1" x14ac:dyDescent="0.2">
      <c r="A276">
        <v>0</v>
      </c>
      <c r="B276" t="s">
        <v>158</v>
      </c>
      <c r="C276" t="s">
        <v>12</v>
      </c>
      <c r="D276">
        <v>4013</v>
      </c>
      <c r="E276" t="s">
        <v>26</v>
      </c>
      <c r="F276">
        <v>0</v>
      </c>
      <c r="G276">
        <v>20200803</v>
      </c>
      <c r="H276" t="s">
        <v>161</v>
      </c>
      <c r="I276">
        <v>917</v>
      </c>
      <c r="J276" s="61" t="s">
        <v>204</v>
      </c>
      <c r="K276">
        <v>1</v>
      </c>
      <c r="L276">
        <v>96872</v>
      </c>
    </row>
    <row r="277" spans="1:12" ht="15" customHeight="1" x14ac:dyDescent="0.2">
      <c r="A277">
        <v>0</v>
      </c>
      <c r="B277" t="s">
        <v>158</v>
      </c>
      <c r="C277" t="s">
        <v>12</v>
      </c>
      <c r="D277">
        <v>4013</v>
      </c>
      <c r="E277" t="s">
        <v>26</v>
      </c>
      <c r="F277">
        <v>0</v>
      </c>
      <c r="G277">
        <v>20200804</v>
      </c>
      <c r="H277" t="s">
        <v>161</v>
      </c>
      <c r="I277">
        <v>917</v>
      </c>
      <c r="J277" s="61" t="s">
        <v>171</v>
      </c>
      <c r="K277">
        <v>1</v>
      </c>
      <c r="L277">
        <v>97599</v>
      </c>
    </row>
    <row r="278" spans="1:12" ht="15" customHeight="1" x14ac:dyDescent="0.2">
      <c r="A278">
        <v>0</v>
      </c>
      <c r="B278" t="s">
        <v>158</v>
      </c>
      <c r="C278" t="s">
        <v>12</v>
      </c>
      <c r="D278">
        <v>4013</v>
      </c>
      <c r="E278" t="s">
        <v>26</v>
      </c>
      <c r="F278">
        <v>0</v>
      </c>
      <c r="G278">
        <v>20200803</v>
      </c>
      <c r="H278" t="s">
        <v>161</v>
      </c>
      <c r="I278">
        <v>917</v>
      </c>
      <c r="J278" s="61" t="s">
        <v>185</v>
      </c>
      <c r="K278">
        <v>1</v>
      </c>
      <c r="L278">
        <v>97916</v>
      </c>
    </row>
    <row r="279" spans="1:12" ht="15" customHeight="1" x14ac:dyDescent="0.2">
      <c r="A279">
        <v>0</v>
      </c>
      <c r="B279" t="s">
        <v>158</v>
      </c>
      <c r="C279" t="s">
        <v>12</v>
      </c>
      <c r="D279">
        <v>4013</v>
      </c>
      <c r="E279" t="s">
        <v>26</v>
      </c>
      <c r="F279">
        <v>0</v>
      </c>
      <c r="G279">
        <v>20200801</v>
      </c>
      <c r="H279" t="s">
        <v>161</v>
      </c>
      <c r="I279">
        <v>917</v>
      </c>
      <c r="J279" s="61" t="s">
        <v>202</v>
      </c>
      <c r="K279">
        <v>1</v>
      </c>
      <c r="L279">
        <v>100000</v>
      </c>
    </row>
    <row r="280" spans="1:12" ht="15" customHeight="1" x14ac:dyDescent="0.2">
      <c r="A280">
        <v>0</v>
      </c>
      <c r="B280" t="s">
        <v>125</v>
      </c>
      <c r="C280" t="s">
        <v>12</v>
      </c>
      <c r="D280">
        <v>6842</v>
      </c>
      <c r="E280" t="s">
        <v>157</v>
      </c>
      <c r="F280">
        <v>0</v>
      </c>
      <c r="G280">
        <v>20200802</v>
      </c>
      <c r="H280" t="s">
        <v>128</v>
      </c>
      <c r="I280">
        <v>39</v>
      </c>
      <c r="J280">
        <v>52281431</v>
      </c>
      <c r="K280">
        <v>1</v>
      </c>
      <c r="L280">
        <v>100000</v>
      </c>
    </row>
    <row r="281" spans="1:12" ht="15" customHeight="1" x14ac:dyDescent="0.2">
      <c r="A281">
        <v>0</v>
      </c>
      <c r="B281" t="s">
        <v>158</v>
      </c>
      <c r="C281" t="s">
        <v>12</v>
      </c>
      <c r="D281">
        <v>4013</v>
      </c>
      <c r="E281" t="s">
        <v>26</v>
      </c>
      <c r="F281">
        <v>0</v>
      </c>
      <c r="G281">
        <v>20200803</v>
      </c>
      <c r="H281" t="s">
        <v>161</v>
      </c>
      <c r="I281">
        <v>917</v>
      </c>
      <c r="J281" s="61" t="s">
        <v>191</v>
      </c>
      <c r="K281">
        <v>1</v>
      </c>
      <c r="L281">
        <v>100000</v>
      </c>
    </row>
    <row r="282" spans="1:12" ht="15" customHeight="1" x14ac:dyDescent="0.2">
      <c r="A282">
        <v>0</v>
      </c>
      <c r="B282" t="s">
        <v>125</v>
      </c>
      <c r="C282" t="s">
        <v>12</v>
      </c>
      <c r="D282">
        <v>6842</v>
      </c>
      <c r="E282" t="s">
        <v>157</v>
      </c>
      <c r="F282">
        <v>0</v>
      </c>
      <c r="G282">
        <v>20200803</v>
      </c>
      <c r="H282" t="s">
        <v>128</v>
      </c>
      <c r="I282">
        <v>39</v>
      </c>
      <c r="J282">
        <v>1027889471</v>
      </c>
      <c r="K282">
        <v>1</v>
      </c>
      <c r="L282">
        <v>100000</v>
      </c>
    </row>
    <row r="283" spans="1:12" ht="15" customHeight="1" x14ac:dyDescent="0.2">
      <c r="A283">
        <v>0</v>
      </c>
      <c r="B283" t="s">
        <v>158</v>
      </c>
      <c r="C283" t="s">
        <v>12</v>
      </c>
      <c r="D283">
        <v>4013</v>
      </c>
      <c r="E283" t="s">
        <v>26</v>
      </c>
      <c r="F283">
        <v>0</v>
      </c>
      <c r="G283">
        <v>20200804</v>
      </c>
      <c r="H283" t="s">
        <v>161</v>
      </c>
      <c r="I283">
        <v>917</v>
      </c>
      <c r="J283" s="61" t="s">
        <v>185</v>
      </c>
      <c r="K283">
        <v>1</v>
      </c>
      <c r="L283">
        <v>100000</v>
      </c>
    </row>
    <row r="284" spans="1:12" ht="15" customHeight="1" x14ac:dyDescent="0.2">
      <c r="A284">
        <v>0</v>
      </c>
      <c r="B284" t="s">
        <v>125</v>
      </c>
      <c r="C284" t="s">
        <v>12</v>
      </c>
      <c r="D284">
        <v>6842</v>
      </c>
      <c r="E284" t="s">
        <v>157</v>
      </c>
      <c r="F284">
        <v>0</v>
      </c>
      <c r="G284">
        <v>20200803</v>
      </c>
      <c r="H284" t="s">
        <v>128</v>
      </c>
      <c r="I284">
        <v>39</v>
      </c>
      <c r="J284">
        <v>51832963</v>
      </c>
      <c r="K284">
        <v>1</v>
      </c>
      <c r="L284">
        <v>102000</v>
      </c>
    </row>
    <row r="285" spans="1:12" ht="15" customHeight="1" x14ac:dyDescent="0.2">
      <c r="A285">
        <v>0</v>
      </c>
      <c r="B285" t="s">
        <v>125</v>
      </c>
      <c r="C285" t="s">
        <v>12</v>
      </c>
      <c r="D285">
        <v>6842</v>
      </c>
      <c r="E285" t="s">
        <v>157</v>
      </c>
      <c r="F285">
        <v>0</v>
      </c>
      <c r="G285">
        <v>20200804</v>
      </c>
      <c r="H285" t="s">
        <v>128</v>
      </c>
      <c r="I285">
        <v>39</v>
      </c>
      <c r="J285">
        <v>41505434</v>
      </c>
      <c r="K285">
        <v>1</v>
      </c>
      <c r="L285">
        <v>102000</v>
      </c>
    </row>
    <row r="286" spans="1:12" ht="15" customHeight="1" x14ac:dyDescent="0.2">
      <c r="A286">
        <v>0</v>
      </c>
      <c r="B286" t="s">
        <v>125</v>
      </c>
      <c r="C286" t="s">
        <v>12</v>
      </c>
      <c r="D286">
        <v>6842</v>
      </c>
      <c r="E286" t="s">
        <v>157</v>
      </c>
      <c r="F286">
        <v>0</v>
      </c>
      <c r="G286">
        <v>20200801</v>
      </c>
      <c r="H286" t="s">
        <v>128</v>
      </c>
      <c r="I286">
        <v>39</v>
      </c>
      <c r="J286">
        <v>52234944</v>
      </c>
      <c r="K286">
        <v>1</v>
      </c>
      <c r="L286">
        <v>104000</v>
      </c>
    </row>
    <row r="287" spans="1:12" ht="15" customHeight="1" x14ac:dyDescent="0.2">
      <c r="A287">
        <v>0</v>
      </c>
      <c r="B287" t="s">
        <v>158</v>
      </c>
      <c r="C287" t="s">
        <v>12</v>
      </c>
      <c r="D287">
        <v>4013</v>
      </c>
      <c r="E287" t="s">
        <v>26</v>
      </c>
      <c r="F287">
        <v>0</v>
      </c>
      <c r="G287">
        <v>20200802</v>
      </c>
      <c r="H287" t="s">
        <v>161</v>
      </c>
      <c r="I287">
        <v>917</v>
      </c>
      <c r="J287" s="61" t="s">
        <v>205</v>
      </c>
      <c r="K287">
        <v>1</v>
      </c>
      <c r="L287">
        <v>106700</v>
      </c>
    </row>
    <row r="288" spans="1:12" ht="15" customHeight="1" x14ac:dyDescent="0.2">
      <c r="A288">
        <v>0</v>
      </c>
      <c r="B288" t="s">
        <v>158</v>
      </c>
      <c r="C288" t="s">
        <v>12</v>
      </c>
      <c r="D288">
        <v>4013</v>
      </c>
      <c r="E288" t="s">
        <v>26</v>
      </c>
      <c r="F288">
        <v>0</v>
      </c>
      <c r="G288">
        <v>20200801</v>
      </c>
      <c r="H288" t="s">
        <v>161</v>
      </c>
      <c r="I288">
        <v>917</v>
      </c>
      <c r="J288" s="61" t="s">
        <v>171</v>
      </c>
      <c r="K288">
        <v>1</v>
      </c>
      <c r="L288">
        <v>107000</v>
      </c>
    </row>
    <row r="289" spans="1:12" ht="15" customHeight="1" x14ac:dyDescent="0.2">
      <c r="A289">
        <v>0</v>
      </c>
      <c r="B289" t="s">
        <v>158</v>
      </c>
      <c r="C289" t="s">
        <v>12</v>
      </c>
      <c r="D289">
        <v>4013</v>
      </c>
      <c r="E289" t="s">
        <v>26</v>
      </c>
      <c r="F289">
        <v>0</v>
      </c>
      <c r="G289">
        <v>20200804</v>
      </c>
      <c r="H289" t="s">
        <v>161</v>
      </c>
      <c r="I289">
        <v>917</v>
      </c>
      <c r="J289" s="61" t="s">
        <v>206</v>
      </c>
      <c r="K289">
        <v>1</v>
      </c>
      <c r="L289">
        <v>107000</v>
      </c>
    </row>
    <row r="290" spans="1:12" ht="15" customHeight="1" x14ac:dyDescent="0.2">
      <c r="A290">
        <v>0</v>
      </c>
      <c r="B290" t="s">
        <v>158</v>
      </c>
      <c r="C290" t="s">
        <v>12</v>
      </c>
      <c r="D290">
        <v>4013</v>
      </c>
      <c r="E290" t="s">
        <v>26</v>
      </c>
      <c r="F290">
        <v>0</v>
      </c>
      <c r="G290">
        <v>20200804</v>
      </c>
      <c r="H290" t="s">
        <v>161</v>
      </c>
      <c r="I290">
        <v>917</v>
      </c>
      <c r="J290" s="61" t="s">
        <v>207</v>
      </c>
      <c r="K290">
        <v>1</v>
      </c>
      <c r="L290">
        <v>108283</v>
      </c>
    </row>
    <row r="291" spans="1:12" ht="15" customHeight="1" x14ac:dyDescent="0.2">
      <c r="A291">
        <v>0</v>
      </c>
      <c r="B291" t="s">
        <v>158</v>
      </c>
      <c r="C291" t="s">
        <v>12</v>
      </c>
      <c r="D291">
        <v>4013</v>
      </c>
      <c r="E291" t="s">
        <v>26</v>
      </c>
      <c r="F291">
        <v>0</v>
      </c>
      <c r="G291">
        <v>20200803</v>
      </c>
      <c r="H291" t="s">
        <v>161</v>
      </c>
      <c r="I291">
        <v>917</v>
      </c>
      <c r="J291" s="61" t="s">
        <v>208</v>
      </c>
      <c r="K291">
        <v>1</v>
      </c>
      <c r="L291">
        <v>110000</v>
      </c>
    </row>
    <row r="292" spans="1:12" ht="15" customHeight="1" x14ac:dyDescent="0.2">
      <c r="A292">
        <v>0</v>
      </c>
      <c r="B292" t="s">
        <v>158</v>
      </c>
      <c r="C292" t="s">
        <v>12</v>
      </c>
      <c r="D292">
        <v>4013</v>
      </c>
      <c r="E292" t="s">
        <v>26</v>
      </c>
      <c r="F292">
        <v>0</v>
      </c>
      <c r="G292">
        <v>20200801</v>
      </c>
      <c r="H292" t="s">
        <v>161</v>
      </c>
      <c r="I292">
        <v>917</v>
      </c>
      <c r="J292" s="61" t="s">
        <v>196</v>
      </c>
      <c r="K292">
        <v>1</v>
      </c>
      <c r="L292">
        <v>113000</v>
      </c>
    </row>
    <row r="293" spans="1:12" ht="15" customHeight="1" x14ac:dyDescent="0.2">
      <c r="A293">
        <v>0</v>
      </c>
      <c r="B293" t="s">
        <v>125</v>
      </c>
      <c r="C293" t="s">
        <v>12</v>
      </c>
      <c r="D293">
        <v>4013</v>
      </c>
      <c r="E293" t="s">
        <v>26</v>
      </c>
      <c r="F293">
        <v>0</v>
      </c>
      <c r="G293">
        <v>20200804</v>
      </c>
      <c r="H293" t="s">
        <v>127</v>
      </c>
      <c r="I293">
        <v>30</v>
      </c>
      <c r="J293" s="61" t="s">
        <v>171</v>
      </c>
      <c r="K293">
        <v>1</v>
      </c>
      <c r="L293">
        <v>114831</v>
      </c>
    </row>
    <row r="294" spans="1:12" ht="15" customHeight="1" x14ac:dyDescent="0.2">
      <c r="A294">
        <v>0</v>
      </c>
      <c r="B294" t="s">
        <v>173</v>
      </c>
      <c r="C294" t="s">
        <v>12</v>
      </c>
      <c r="D294">
        <v>4017</v>
      </c>
      <c r="E294" t="s">
        <v>29</v>
      </c>
      <c r="F294">
        <v>0</v>
      </c>
      <c r="G294">
        <v>20200803</v>
      </c>
      <c r="H294" t="s">
        <v>209</v>
      </c>
      <c r="I294">
        <v>969</v>
      </c>
      <c r="J294" s="61" t="s">
        <v>202</v>
      </c>
      <c r="K294">
        <v>1</v>
      </c>
      <c r="L294">
        <v>115275</v>
      </c>
    </row>
    <row r="295" spans="1:12" ht="15" customHeight="1" x14ac:dyDescent="0.2">
      <c r="A295">
        <v>0</v>
      </c>
      <c r="B295" t="s">
        <v>158</v>
      </c>
      <c r="C295" t="s">
        <v>12</v>
      </c>
      <c r="D295">
        <v>4013</v>
      </c>
      <c r="E295" t="s">
        <v>26</v>
      </c>
      <c r="F295">
        <v>0</v>
      </c>
      <c r="G295">
        <v>20200803</v>
      </c>
      <c r="H295" t="s">
        <v>161</v>
      </c>
      <c r="I295">
        <v>917</v>
      </c>
      <c r="J295" s="61" t="s">
        <v>171</v>
      </c>
      <c r="K295">
        <v>1</v>
      </c>
      <c r="L295">
        <v>116000</v>
      </c>
    </row>
    <row r="296" spans="1:12" ht="15" customHeight="1" x14ac:dyDescent="0.2">
      <c r="A296">
        <v>0</v>
      </c>
      <c r="B296" t="s">
        <v>158</v>
      </c>
      <c r="C296" t="s">
        <v>12</v>
      </c>
      <c r="D296">
        <v>4013</v>
      </c>
      <c r="E296" t="s">
        <v>26</v>
      </c>
      <c r="F296">
        <v>0</v>
      </c>
      <c r="G296">
        <v>20200801</v>
      </c>
      <c r="H296" t="s">
        <v>161</v>
      </c>
      <c r="I296">
        <v>917</v>
      </c>
      <c r="J296" s="61" t="s">
        <v>175</v>
      </c>
      <c r="K296">
        <v>1</v>
      </c>
      <c r="L296">
        <v>117585</v>
      </c>
    </row>
    <row r="297" spans="1:12" ht="15" customHeight="1" x14ac:dyDescent="0.2">
      <c r="A297">
        <v>0</v>
      </c>
      <c r="B297" t="s">
        <v>158</v>
      </c>
      <c r="C297" t="s">
        <v>12</v>
      </c>
      <c r="D297">
        <v>4013</v>
      </c>
      <c r="E297" t="s">
        <v>26</v>
      </c>
      <c r="F297">
        <v>0</v>
      </c>
      <c r="G297">
        <v>20200804</v>
      </c>
      <c r="H297" t="s">
        <v>161</v>
      </c>
      <c r="I297">
        <v>917</v>
      </c>
      <c r="J297" s="61" t="s">
        <v>178</v>
      </c>
      <c r="K297">
        <v>1</v>
      </c>
      <c r="L297">
        <v>120000</v>
      </c>
    </row>
    <row r="298" spans="1:12" ht="15" customHeight="1" x14ac:dyDescent="0.2">
      <c r="A298">
        <v>0</v>
      </c>
      <c r="B298" t="s">
        <v>158</v>
      </c>
      <c r="C298" t="s">
        <v>12</v>
      </c>
      <c r="D298">
        <v>4013</v>
      </c>
      <c r="E298" t="s">
        <v>26</v>
      </c>
      <c r="F298">
        <v>0</v>
      </c>
      <c r="G298">
        <v>20200801</v>
      </c>
      <c r="H298" t="s">
        <v>161</v>
      </c>
      <c r="I298">
        <v>917</v>
      </c>
      <c r="J298" s="61" t="s">
        <v>202</v>
      </c>
      <c r="K298">
        <v>1</v>
      </c>
      <c r="L298">
        <v>120819</v>
      </c>
    </row>
    <row r="299" spans="1:12" ht="15" customHeight="1" x14ac:dyDescent="0.2">
      <c r="A299">
        <v>0</v>
      </c>
      <c r="B299" t="s">
        <v>158</v>
      </c>
      <c r="C299" t="s">
        <v>12</v>
      </c>
      <c r="D299">
        <v>4013</v>
      </c>
      <c r="E299" t="s">
        <v>26</v>
      </c>
      <c r="F299">
        <v>0</v>
      </c>
      <c r="G299">
        <v>20200804</v>
      </c>
      <c r="H299" t="s">
        <v>161</v>
      </c>
      <c r="I299">
        <v>917</v>
      </c>
      <c r="J299" s="61" t="s">
        <v>207</v>
      </c>
      <c r="K299">
        <v>1</v>
      </c>
      <c r="L299">
        <v>123000</v>
      </c>
    </row>
    <row r="300" spans="1:12" ht="15" customHeight="1" x14ac:dyDescent="0.2">
      <c r="A300">
        <v>0</v>
      </c>
      <c r="B300" t="s">
        <v>158</v>
      </c>
      <c r="C300" t="s">
        <v>12</v>
      </c>
      <c r="D300">
        <v>4013</v>
      </c>
      <c r="E300" t="s">
        <v>26</v>
      </c>
      <c r="F300">
        <v>0</v>
      </c>
      <c r="G300">
        <v>20200804</v>
      </c>
      <c r="H300" t="s">
        <v>161</v>
      </c>
      <c r="I300">
        <v>917</v>
      </c>
      <c r="J300" s="61" t="s">
        <v>166</v>
      </c>
      <c r="K300">
        <v>1</v>
      </c>
      <c r="L300">
        <v>123472</v>
      </c>
    </row>
    <row r="301" spans="1:12" ht="15" customHeight="1" x14ac:dyDescent="0.2">
      <c r="A301">
        <v>0</v>
      </c>
      <c r="B301" t="s">
        <v>158</v>
      </c>
      <c r="C301" t="s">
        <v>12</v>
      </c>
      <c r="D301">
        <v>4013</v>
      </c>
      <c r="E301" t="s">
        <v>26</v>
      </c>
      <c r="F301">
        <v>0</v>
      </c>
      <c r="G301">
        <v>20200803</v>
      </c>
      <c r="H301" t="s">
        <v>161</v>
      </c>
      <c r="I301">
        <v>917</v>
      </c>
      <c r="J301" s="61" t="s">
        <v>172</v>
      </c>
      <c r="K301">
        <v>1</v>
      </c>
      <c r="L301">
        <v>129387</v>
      </c>
    </row>
    <row r="302" spans="1:12" ht="15" customHeight="1" x14ac:dyDescent="0.2">
      <c r="A302">
        <v>0</v>
      </c>
      <c r="B302" t="s">
        <v>158</v>
      </c>
      <c r="C302" t="s">
        <v>12</v>
      </c>
      <c r="D302">
        <v>4013</v>
      </c>
      <c r="E302" t="s">
        <v>26</v>
      </c>
      <c r="F302">
        <v>0</v>
      </c>
      <c r="G302">
        <v>20200804</v>
      </c>
      <c r="H302" t="s">
        <v>161</v>
      </c>
      <c r="I302">
        <v>917</v>
      </c>
      <c r="J302" s="61" t="s">
        <v>171</v>
      </c>
      <c r="K302">
        <v>1</v>
      </c>
      <c r="L302">
        <v>129827</v>
      </c>
    </row>
    <row r="303" spans="1:12" ht="15" customHeight="1" x14ac:dyDescent="0.2">
      <c r="A303">
        <v>0</v>
      </c>
      <c r="B303" t="s">
        <v>158</v>
      </c>
      <c r="C303" t="s">
        <v>12</v>
      </c>
      <c r="D303">
        <v>4013</v>
      </c>
      <c r="E303" t="s">
        <v>26</v>
      </c>
      <c r="F303">
        <v>0</v>
      </c>
      <c r="G303">
        <v>20200803</v>
      </c>
      <c r="H303" t="s">
        <v>161</v>
      </c>
      <c r="I303">
        <v>917</v>
      </c>
      <c r="J303" s="61" t="s">
        <v>175</v>
      </c>
      <c r="K303">
        <v>1</v>
      </c>
      <c r="L303">
        <v>129971</v>
      </c>
    </row>
    <row r="304" spans="1:12" ht="15" customHeight="1" x14ac:dyDescent="0.2">
      <c r="A304">
        <v>0</v>
      </c>
      <c r="B304" t="s">
        <v>181</v>
      </c>
      <c r="C304" t="s">
        <v>12</v>
      </c>
      <c r="D304">
        <v>4017</v>
      </c>
      <c r="E304" t="s">
        <v>29</v>
      </c>
      <c r="F304">
        <v>0</v>
      </c>
      <c r="G304">
        <v>20200804</v>
      </c>
      <c r="H304" t="s">
        <v>210</v>
      </c>
      <c r="I304">
        <v>454</v>
      </c>
      <c r="J304" s="61" t="s">
        <v>191</v>
      </c>
      <c r="K304">
        <v>1</v>
      </c>
      <c r="L304">
        <v>132611</v>
      </c>
    </row>
    <row r="305" spans="1:12" ht="15" customHeight="1" x14ac:dyDescent="0.2">
      <c r="A305">
        <v>0</v>
      </c>
      <c r="B305" t="s">
        <v>125</v>
      </c>
      <c r="C305" t="s">
        <v>12</v>
      </c>
      <c r="D305">
        <v>6842</v>
      </c>
      <c r="E305" t="s">
        <v>157</v>
      </c>
      <c r="F305">
        <v>0</v>
      </c>
      <c r="G305">
        <v>20200803</v>
      </c>
      <c r="H305" t="s">
        <v>128</v>
      </c>
      <c r="I305">
        <v>39</v>
      </c>
      <c r="J305">
        <v>1014178076</v>
      </c>
      <c r="K305">
        <v>1</v>
      </c>
      <c r="L305">
        <v>133064</v>
      </c>
    </row>
    <row r="306" spans="1:12" ht="15" customHeight="1" x14ac:dyDescent="0.2">
      <c r="A306">
        <v>0</v>
      </c>
      <c r="B306" t="s">
        <v>158</v>
      </c>
      <c r="C306" t="s">
        <v>12</v>
      </c>
      <c r="D306">
        <v>4013</v>
      </c>
      <c r="E306" t="s">
        <v>26</v>
      </c>
      <c r="F306">
        <v>0</v>
      </c>
      <c r="G306">
        <v>20200803</v>
      </c>
      <c r="H306" t="s">
        <v>161</v>
      </c>
      <c r="I306">
        <v>917</v>
      </c>
      <c r="J306" s="61" t="s">
        <v>171</v>
      </c>
      <c r="K306">
        <v>1</v>
      </c>
      <c r="L306">
        <v>134920</v>
      </c>
    </row>
    <row r="307" spans="1:12" ht="15" customHeight="1" x14ac:dyDescent="0.2">
      <c r="A307">
        <v>0</v>
      </c>
      <c r="B307" t="s">
        <v>158</v>
      </c>
      <c r="C307" t="s">
        <v>12</v>
      </c>
      <c r="D307">
        <v>4013</v>
      </c>
      <c r="E307" t="s">
        <v>26</v>
      </c>
      <c r="F307">
        <v>0</v>
      </c>
      <c r="G307">
        <v>20200803</v>
      </c>
      <c r="H307" t="s">
        <v>161</v>
      </c>
      <c r="I307">
        <v>917</v>
      </c>
      <c r="J307" s="61" t="s">
        <v>166</v>
      </c>
      <c r="K307">
        <v>1</v>
      </c>
      <c r="L307">
        <v>135053</v>
      </c>
    </row>
    <row r="308" spans="1:12" ht="15" customHeight="1" x14ac:dyDescent="0.2">
      <c r="A308">
        <v>0</v>
      </c>
      <c r="B308" t="s">
        <v>158</v>
      </c>
      <c r="C308" t="s">
        <v>12</v>
      </c>
      <c r="D308">
        <v>4013</v>
      </c>
      <c r="E308" t="s">
        <v>26</v>
      </c>
      <c r="F308">
        <v>0</v>
      </c>
      <c r="G308">
        <v>20200804</v>
      </c>
      <c r="H308" t="s">
        <v>161</v>
      </c>
      <c r="I308">
        <v>917</v>
      </c>
      <c r="J308" s="61" t="s">
        <v>171</v>
      </c>
      <c r="K308">
        <v>1</v>
      </c>
      <c r="L308">
        <v>135535</v>
      </c>
    </row>
    <row r="309" spans="1:12" ht="15" customHeight="1" x14ac:dyDescent="0.2">
      <c r="A309">
        <v>0</v>
      </c>
      <c r="B309" t="s">
        <v>211</v>
      </c>
      <c r="C309" t="s">
        <v>12</v>
      </c>
      <c r="D309">
        <v>4017</v>
      </c>
      <c r="E309" t="s">
        <v>29</v>
      </c>
      <c r="F309">
        <v>0</v>
      </c>
      <c r="G309">
        <v>20200804</v>
      </c>
      <c r="H309" t="s">
        <v>212</v>
      </c>
      <c r="I309">
        <v>426</v>
      </c>
      <c r="J309" s="61" t="s">
        <v>213</v>
      </c>
      <c r="K309">
        <v>1</v>
      </c>
      <c r="L309">
        <v>137449</v>
      </c>
    </row>
    <row r="310" spans="1:12" ht="15" customHeight="1" x14ac:dyDescent="0.2">
      <c r="A310">
        <v>0</v>
      </c>
      <c r="B310" t="s">
        <v>125</v>
      </c>
      <c r="C310" t="s">
        <v>12</v>
      </c>
      <c r="D310">
        <v>6842</v>
      </c>
      <c r="E310" t="s">
        <v>157</v>
      </c>
      <c r="F310">
        <v>0</v>
      </c>
      <c r="G310">
        <v>20200801</v>
      </c>
      <c r="H310" t="s">
        <v>128</v>
      </c>
      <c r="I310">
        <v>39</v>
      </c>
      <c r="J310">
        <v>1023872959</v>
      </c>
      <c r="K310">
        <v>1</v>
      </c>
      <c r="L310">
        <v>140329</v>
      </c>
    </row>
    <row r="311" spans="1:12" ht="15" customHeight="1" x14ac:dyDescent="0.2">
      <c r="A311">
        <v>0</v>
      </c>
      <c r="B311" t="s">
        <v>158</v>
      </c>
      <c r="C311" t="s">
        <v>12</v>
      </c>
      <c r="D311">
        <v>4013</v>
      </c>
      <c r="E311" t="s">
        <v>26</v>
      </c>
      <c r="F311">
        <v>0</v>
      </c>
      <c r="G311">
        <v>20200803</v>
      </c>
      <c r="H311" t="s">
        <v>161</v>
      </c>
      <c r="I311">
        <v>917</v>
      </c>
      <c r="J311" s="61" t="s">
        <v>214</v>
      </c>
      <c r="K311">
        <v>1</v>
      </c>
      <c r="L311">
        <v>141161</v>
      </c>
    </row>
    <row r="312" spans="1:12" ht="15" customHeight="1" x14ac:dyDescent="0.2">
      <c r="A312">
        <v>0</v>
      </c>
      <c r="B312" t="s">
        <v>125</v>
      </c>
      <c r="C312" t="s">
        <v>12</v>
      </c>
      <c r="D312">
        <v>6842</v>
      </c>
      <c r="E312" t="s">
        <v>157</v>
      </c>
      <c r="F312">
        <v>0</v>
      </c>
      <c r="G312">
        <v>20200803</v>
      </c>
      <c r="H312" t="s">
        <v>128</v>
      </c>
      <c r="I312">
        <v>39</v>
      </c>
      <c r="J312">
        <v>43748242</v>
      </c>
      <c r="K312">
        <v>1</v>
      </c>
      <c r="L312">
        <v>141240</v>
      </c>
    </row>
    <row r="313" spans="1:12" ht="15" customHeight="1" x14ac:dyDescent="0.2">
      <c r="A313">
        <v>0</v>
      </c>
      <c r="B313" t="s">
        <v>158</v>
      </c>
      <c r="C313" t="s">
        <v>12</v>
      </c>
      <c r="D313">
        <v>4013</v>
      </c>
      <c r="E313" t="s">
        <v>26</v>
      </c>
      <c r="F313">
        <v>0</v>
      </c>
      <c r="G313">
        <v>20200803</v>
      </c>
      <c r="H313" t="s">
        <v>161</v>
      </c>
      <c r="I313">
        <v>917</v>
      </c>
      <c r="J313" s="61" t="s">
        <v>174</v>
      </c>
      <c r="K313">
        <v>1</v>
      </c>
      <c r="L313">
        <v>141567</v>
      </c>
    </row>
    <row r="314" spans="1:12" ht="15" customHeight="1" x14ac:dyDescent="0.2">
      <c r="A314">
        <v>0</v>
      </c>
      <c r="B314" t="s">
        <v>125</v>
      </c>
      <c r="C314" t="s">
        <v>12</v>
      </c>
      <c r="D314">
        <v>6842</v>
      </c>
      <c r="E314" t="s">
        <v>157</v>
      </c>
      <c r="F314">
        <v>0</v>
      </c>
      <c r="G314">
        <v>20200803</v>
      </c>
      <c r="H314" t="s">
        <v>128</v>
      </c>
      <c r="I314">
        <v>39</v>
      </c>
      <c r="J314">
        <v>19588908</v>
      </c>
      <c r="K314">
        <v>1</v>
      </c>
      <c r="L314">
        <v>142000</v>
      </c>
    </row>
    <row r="315" spans="1:12" ht="15" customHeight="1" x14ac:dyDescent="0.2">
      <c r="A315">
        <v>0</v>
      </c>
      <c r="B315" t="s">
        <v>158</v>
      </c>
      <c r="C315" t="s">
        <v>12</v>
      </c>
      <c r="D315">
        <v>4013</v>
      </c>
      <c r="E315" t="s">
        <v>26</v>
      </c>
      <c r="F315">
        <v>0</v>
      </c>
      <c r="G315">
        <v>20200804</v>
      </c>
      <c r="H315" t="s">
        <v>161</v>
      </c>
      <c r="I315">
        <v>917</v>
      </c>
      <c r="J315" s="61" t="s">
        <v>166</v>
      </c>
      <c r="K315">
        <v>1</v>
      </c>
      <c r="L315">
        <v>142000</v>
      </c>
    </row>
    <row r="316" spans="1:12" ht="15" customHeight="1" x14ac:dyDescent="0.2">
      <c r="A316">
        <v>0</v>
      </c>
      <c r="B316" t="s">
        <v>158</v>
      </c>
      <c r="C316" t="s">
        <v>12</v>
      </c>
      <c r="D316">
        <v>4013</v>
      </c>
      <c r="E316" t="s">
        <v>26</v>
      </c>
      <c r="F316">
        <v>0</v>
      </c>
      <c r="G316">
        <v>20200803</v>
      </c>
      <c r="H316" t="s">
        <v>161</v>
      </c>
      <c r="I316">
        <v>917</v>
      </c>
      <c r="J316" s="61" t="s">
        <v>215</v>
      </c>
      <c r="K316">
        <v>1</v>
      </c>
      <c r="L316">
        <v>142012</v>
      </c>
    </row>
    <row r="317" spans="1:12" ht="15" customHeight="1" x14ac:dyDescent="0.2">
      <c r="A317">
        <v>0</v>
      </c>
      <c r="B317" t="s">
        <v>158</v>
      </c>
      <c r="C317" t="s">
        <v>12</v>
      </c>
      <c r="D317">
        <v>4013</v>
      </c>
      <c r="E317" t="s">
        <v>26</v>
      </c>
      <c r="F317">
        <v>0</v>
      </c>
      <c r="G317">
        <v>20200804</v>
      </c>
      <c r="H317" t="s">
        <v>161</v>
      </c>
      <c r="I317">
        <v>917</v>
      </c>
      <c r="J317" s="61" t="s">
        <v>172</v>
      </c>
      <c r="K317">
        <v>1</v>
      </c>
      <c r="L317">
        <v>142640</v>
      </c>
    </row>
    <row r="318" spans="1:12" ht="15" customHeight="1" x14ac:dyDescent="0.2">
      <c r="A318">
        <v>0</v>
      </c>
      <c r="B318" t="s">
        <v>158</v>
      </c>
      <c r="C318" t="s">
        <v>12</v>
      </c>
      <c r="D318">
        <v>4013</v>
      </c>
      <c r="E318" t="s">
        <v>26</v>
      </c>
      <c r="F318">
        <v>0</v>
      </c>
      <c r="G318">
        <v>20200801</v>
      </c>
      <c r="H318" t="s">
        <v>161</v>
      </c>
      <c r="I318">
        <v>917</v>
      </c>
      <c r="J318" s="61" t="s">
        <v>172</v>
      </c>
      <c r="K318">
        <v>1</v>
      </c>
      <c r="L318">
        <v>143426</v>
      </c>
    </row>
    <row r="319" spans="1:12" ht="15" customHeight="1" x14ac:dyDescent="0.2">
      <c r="A319">
        <v>0</v>
      </c>
      <c r="B319" t="s">
        <v>158</v>
      </c>
      <c r="C319" t="s">
        <v>12</v>
      </c>
      <c r="D319">
        <v>4013</v>
      </c>
      <c r="E319" t="s">
        <v>26</v>
      </c>
      <c r="F319">
        <v>0</v>
      </c>
      <c r="G319">
        <v>20200804</v>
      </c>
      <c r="H319" t="s">
        <v>161</v>
      </c>
      <c r="I319">
        <v>917</v>
      </c>
      <c r="J319" s="61" t="s">
        <v>215</v>
      </c>
      <c r="K319">
        <v>1</v>
      </c>
      <c r="L319">
        <v>143532</v>
      </c>
    </row>
    <row r="320" spans="1:12" ht="15" customHeight="1" x14ac:dyDescent="0.2">
      <c r="A320">
        <v>0</v>
      </c>
      <c r="B320" t="s">
        <v>158</v>
      </c>
      <c r="C320" t="s">
        <v>12</v>
      </c>
      <c r="D320">
        <v>4013</v>
      </c>
      <c r="E320" t="s">
        <v>26</v>
      </c>
      <c r="F320">
        <v>0</v>
      </c>
      <c r="G320">
        <v>20200804</v>
      </c>
      <c r="H320" t="s">
        <v>161</v>
      </c>
      <c r="I320">
        <v>917</v>
      </c>
      <c r="J320" s="61" t="s">
        <v>175</v>
      </c>
      <c r="K320">
        <v>1</v>
      </c>
      <c r="L320">
        <v>144896</v>
      </c>
    </row>
    <row r="321" spans="1:12" ht="15" customHeight="1" x14ac:dyDescent="0.2">
      <c r="A321">
        <v>0</v>
      </c>
      <c r="B321" t="s">
        <v>158</v>
      </c>
      <c r="C321" t="s">
        <v>12</v>
      </c>
      <c r="D321">
        <v>4013</v>
      </c>
      <c r="E321" t="s">
        <v>26</v>
      </c>
      <c r="F321">
        <v>0</v>
      </c>
      <c r="G321">
        <v>20200803</v>
      </c>
      <c r="H321" t="s">
        <v>161</v>
      </c>
      <c r="I321">
        <v>917</v>
      </c>
      <c r="J321" s="61" t="s">
        <v>172</v>
      </c>
      <c r="K321">
        <v>1</v>
      </c>
      <c r="L321">
        <v>148564</v>
      </c>
    </row>
    <row r="322" spans="1:12" ht="15" customHeight="1" x14ac:dyDescent="0.2">
      <c r="A322">
        <v>0</v>
      </c>
      <c r="B322" t="s">
        <v>158</v>
      </c>
      <c r="C322" t="s">
        <v>12</v>
      </c>
      <c r="D322">
        <v>4013</v>
      </c>
      <c r="E322" t="s">
        <v>26</v>
      </c>
      <c r="F322">
        <v>0</v>
      </c>
      <c r="G322">
        <v>20200803</v>
      </c>
      <c r="H322" t="s">
        <v>161</v>
      </c>
      <c r="I322">
        <v>917</v>
      </c>
      <c r="J322" s="61" t="s">
        <v>172</v>
      </c>
      <c r="K322">
        <v>1</v>
      </c>
      <c r="L322">
        <v>149611</v>
      </c>
    </row>
    <row r="323" spans="1:12" ht="15" customHeight="1" x14ac:dyDescent="0.2">
      <c r="A323">
        <v>0</v>
      </c>
      <c r="B323" t="s">
        <v>158</v>
      </c>
      <c r="C323" t="s">
        <v>12</v>
      </c>
      <c r="D323">
        <v>4013</v>
      </c>
      <c r="E323" t="s">
        <v>26</v>
      </c>
      <c r="F323">
        <v>0</v>
      </c>
      <c r="G323">
        <v>20200801</v>
      </c>
      <c r="H323" t="s">
        <v>161</v>
      </c>
      <c r="I323">
        <v>917</v>
      </c>
      <c r="J323" s="61" t="s">
        <v>196</v>
      </c>
      <c r="K323">
        <v>1</v>
      </c>
      <c r="L323">
        <v>150000</v>
      </c>
    </row>
    <row r="324" spans="1:12" ht="15" customHeight="1" x14ac:dyDescent="0.2">
      <c r="A324">
        <v>0</v>
      </c>
      <c r="B324" t="s">
        <v>158</v>
      </c>
      <c r="C324" t="s">
        <v>12</v>
      </c>
      <c r="D324">
        <v>4013</v>
      </c>
      <c r="E324" t="s">
        <v>26</v>
      </c>
      <c r="F324">
        <v>0</v>
      </c>
      <c r="G324">
        <v>20200803</v>
      </c>
      <c r="H324" t="s">
        <v>161</v>
      </c>
      <c r="I324">
        <v>917</v>
      </c>
      <c r="J324" s="61" t="s">
        <v>191</v>
      </c>
      <c r="K324">
        <v>1</v>
      </c>
      <c r="L324">
        <v>150000</v>
      </c>
    </row>
    <row r="325" spans="1:12" ht="15" customHeight="1" x14ac:dyDescent="0.2">
      <c r="A325">
        <v>0</v>
      </c>
      <c r="B325" t="s">
        <v>158</v>
      </c>
      <c r="C325" t="s">
        <v>12</v>
      </c>
      <c r="D325">
        <v>4013</v>
      </c>
      <c r="E325" t="s">
        <v>26</v>
      </c>
      <c r="F325">
        <v>0</v>
      </c>
      <c r="G325">
        <v>20200804</v>
      </c>
      <c r="H325" t="s">
        <v>161</v>
      </c>
      <c r="I325">
        <v>917</v>
      </c>
      <c r="J325" s="61" t="s">
        <v>185</v>
      </c>
      <c r="K325">
        <v>1</v>
      </c>
      <c r="L325">
        <v>150000</v>
      </c>
    </row>
    <row r="326" spans="1:12" ht="15" customHeight="1" x14ac:dyDescent="0.2">
      <c r="A326">
        <v>0</v>
      </c>
      <c r="B326" t="s">
        <v>158</v>
      </c>
      <c r="C326" t="s">
        <v>12</v>
      </c>
      <c r="D326">
        <v>4013</v>
      </c>
      <c r="E326" t="s">
        <v>26</v>
      </c>
      <c r="F326">
        <v>0</v>
      </c>
      <c r="G326">
        <v>20200804</v>
      </c>
      <c r="H326" t="s">
        <v>161</v>
      </c>
      <c r="I326">
        <v>917</v>
      </c>
      <c r="J326" s="61" t="s">
        <v>185</v>
      </c>
      <c r="K326">
        <v>1</v>
      </c>
      <c r="L326">
        <v>152000</v>
      </c>
    </row>
    <row r="327" spans="1:12" ht="15" customHeight="1" x14ac:dyDescent="0.2">
      <c r="A327">
        <v>0</v>
      </c>
      <c r="B327" t="s">
        <v>125</v>
      </c>
      <c r="C327" t="s">
        <v>12</v>
      </c>
      <c r="D327">
        <v>4013</v>
      </c>
      <c r="E327" t="s">
        <v>26</v>
      </c>
      <c r="F327">
        <v>0</v>
      </c>
      <c r="G327">
        <v>20200803</v>
      </c>
      <c r="H327" t="s">
        <v>216</v>
      </c>
      <c r="I327">
        <v>996</v>
      </c>
      <c r="J327" s="61" t="s">
        <v>213</v>
      </c>
      <c r="K327">
        <v>1</v>
      </c>
      <c r="L327">
        <v>155067</v>
      </c>
    </row>
    <row r="328" spans="1:12" ht="15" customHeight="1" x14ac:dyDescent="0.2">
      <c r="A328">
        <v>0</v>
      </c>
      <c r="B328" t="s">
        <v>158</v>
      </c>
      <c r="C328" t="s">
        <v>12</v>
      </c>
      <c r="D328">
        <v>4013</v>
      </c>
      <c r="E328" t="s">
        <v>26</v>
      </c>
      <c r="F328">
        <v>0</v>
      </c>
      <c r="G328">
        <v>20200803</v>
      </c>
      <c r="H328" t="s">
        <v>161</v>
      </c>
      <c r="I328">
        <v>917</v>
      </c>
      <c r="J328" s="61" t="s">
        <v>172</v>
      </c>
      <c r="K328">
        <v>1</v>
      </c>
      <c r="L328">
        <v>157000</v>
      </c>
    </row>
    <row r="329" spans="1:12" ht="15" customHeight="1" x14ac:dyDescent="0.2">
      <c r="A329">
        <v>0</v>
      </c>
      <c r="B329" t="s">
        <v>158</v>
      </c>
      <c r="C329" t="s">
        <v>12</v>
      </c>
      <c r="D329">
        <v>4013</v>
      </c>
      <c r="E329" t="s">
        <v>26</v>
      </c>
      <c r="F329">
        <v>0</v>
      </c>
      <c r="G329">
        <v>20200804</v>
      </c>
      <c r="H329" t="s">
        <v>161</v>
      </c>
      <c r="I329">
        <v>917</v>
      </c>
      <c r="J329" s="61" t="s">
        <v>171</v>
      </c>
      <c r="K329">
        <v>1</v>
      </c>
      <c r="L329">
        <v>158952</v>
      </c>
    </row>
    <row r="330" spans="1:12" ht="15" customHeight="1" x14ac:dyDescent="0.2">
      <c r="A330">
        <v>0</v>
      </c>
      <c r="B330" t="s">
        <v>125</v>
      </c>
      <c r="C330" t="s">
        <v>12</v>
      </c>
      <c r="D330">
        <v>4013</v>
      </c>
      <c r="E330" t="s">
        <v>26</v>
      </c>
      <c r="F330">
        <v>0</v>
      </c>
      <c r="G330">
        <v>20200803</v>
      </c>
      <c r="H330" t="s">
        <v>217</v>
      </c>
      <c r="I330">
        <v>173</v>
      </c>
      <c r="J330" s="61" t="s">
        <v>208</v>
      </c>
      <c r="K330">
        <v>1</v>
      </c>
      <c r="L330">
        <v>160460</v>
      </c>
    </row>
    <row r="331" spans="1:12" ht="15" customHeight="1" x14ac:dyDescent="0.2">
      <c r="A331">
        <v>0</v>
      </c>
      <c r="B331" t="s">
        <v>158</v>
      </c>
      <c r="C331" t="s">
        <v>12</v>
      </c>
      <c r="D331">
        <v>4013</v>
      </c>
      <c r="E331" t="s">
        <v>26</v>
      </c>
      <c r="F331">
        <v>0</v>
      </c>
      <c r="G331">
        <v>20200804</v>
      </c>
      <c r="H331" t="s">
        <v>161</v>
      </c>
      <c r="I331">
        <v>917</v>
      </c>
      <c r="J331" s="61" t="s">
        <v>174</v>
      </c>
      <c r="K331">
        <v>1</v>
      </c>
      <c r="L331">
        <v>161317</v>
      </c>
    </row>
    <row r="332" spans="1:12" ht="15" customHeight="1" x14ac:dyDescent="0.2">
      <c r="A332">
        <v>0</v>
      </c>
      <c r="B332" t="s">
        <v>158</v>
      </c>
      <c r="C332" t="s">
        <v>12</v>
      </c>
      <c r="D332">
        <v>4013</v>
      </c>
      <c r="E332" t="s">
        <v>26</v>
      </c>
      <c r="F332">
        <v>0</v>
      </c>
      <c r="G332">
        <v>20200803</v>
      </c>
      <c r="H332" t="s">
        <v>161</v>
      </c>
      <c r="I332">
        <v>917</v>
      </c>
      <c r="J332" s="61" t="s">
        <v>174</v>
      </c>
      <c r="K332">
        <v>1</v>
      </c>
      <c r="L332">
        <v>161767</v>
      </c>
    </row>
    <row r="333" spans="1:12" ht="15" customHeight="1" x14ac:dyDescent="0.2">
      <c r="A333">
        <v>0</v>
      </c>
      <c r="B333" t="s">
        <v>158</v>
      </c>
      <c r="C333" t="s">
        <v>12</v>
      </c>
      <c r="D333">
        <v>4013</v>
      </c>
      <c r="E333" t="s">
        <v>26</v>
      </c>
      <c r="F333">
        <v>0</v>
      </c>
      <c r="G333">
        <v>20200803</v>
      </c>
      <c r="H333" t="s">
        <v>161</v>
      </c>
      <c r="I333">
        <v>917</v>
      </c>
      <c r="J333" s="61" t="s">
        <v>202</v>
      </c>
      <c r="K333">
        <v>1</v>
      </c>
      <c r="L333">
        <v>163000</v>
      </c>
    </row>
    <row r="334" spans="1:12" ht="15" customHeight="1" x14ac:dyDescent="0.2">
      <c r="A334">
        <v>0</v>
      </c>
      <c r="B334" t="s">
        <v>158</v>
      </c>
      <c r="C334" t="s">
        <v>12</v>
      </c>
      <c r="D334">
        <v>4013</v>
      </c>
      <c r="E334" t="s">
        <v>26</v>
      </c>
      <c r="F334">
        <v>0</v>
      </c>
      <c r="G334">
        <v>20200803</v>
      </c>
      <c r="H334" t="s">
        <v>161</v>
      </c>
      <c r="I334">
        <v>917</v>
      </c>
      <c r="J334" s="61" t="s">
        <v>175</v>
      </c>
      <c r="K334">
        <v>1</v>
      </c>
      <c r="L334">
        <v>163071</v>
      </c>
    </row>
    <row r="335" spans="1:12" ht="15" customHeight="1" x14ac:dyDescent="0.2">
      <c r="A335">
        <v>0</v>
      </c>
      <c r="B335" t="s">
        <v>218</v>
      </c>
      <c r="C335" t="s">
        <v>12</v>
      </c>
      <c r="D335">
        <v>4017</v>
      </c>
      <c r="E335" t="s">
        <v>29</v>
      </c>
      <c r="F335">
        <v>0</v>
      </c>
      <c r="G335">
        <v>20200804</v>
      </c>
      <c r="H335" t="s">
        <v>219</v>
      </c>
      <c r="I335">
        <v>795</v>
      </c>
      <c r="J335" s="61" t="s">
        <v>207</v>
      </c>
      <c r="K335">
        <v>1</v>
      </c>
      <c r="L335">
        <v>167000</v>
      </c>
    </row>
    <row r="336" spans="1:12" ht="15" customHeight="1" x14ac:dyDescent="0.2">
      <c r="A336">
        <v>0</v>
      </c>
      <c r="B336" t="s">
        <v>158</v>
      </c>
      <c r="C336" t="s">
        <v>12</v>
      </c>
      <c r="D336">
        <v>4013</v>
      </c>
      <c r="E336" t="s">
        <v>26</v>
      </c>
      <c r="F336">
        <v>0</v>
      </c>
      <c r="G336">
        <v>20200804</v>
      </c>
      <c r="H336" t="s">
        <v>161</v>
      </c>
      <c r="I336">
        <v>917</v>
      </c>
      <c r="J336" s="61" t="s">
        <v>175</v>
      </c>
      <c r="K336">
        <v>1</v>
      </c>
      <c r="L336">
        <v>167710</v>
      </c>
    </row>
    <row r="337" spans="1:12" ht="15" customHeight="1" x14ac:dyDescent="0.2">
      <c r="A337">
        <v>0</v>
      </c>
      <c r="B337" t="s">
        <v>158</v>
      </c>
      <c r="C337" t="s">
        <v>12</v>
      </c>
      <c r="D337">
        <v>4013</v>
      </c>
      <c r="E337" t="s">
        <v>26</v>
      </c>
      <c r="F337">
        <v>0</v>
      </c>
      <c r="G337">
        <v>20200804</v>
      </c>
      <c r="H337" t="s">
        <v>161</v>
      </c>
      <c r="I337">
        <v>917</v>
      </c>
      <c r="J337" s="61" t="s">
        <v>175</v>
      </c>
      <c r="K337">
        <v>1</v>
      </c>
      <c r="L337">
        <v>169796</v>
      </c>
    </row>
    <row r="338" spans="1:12" ht="15" customHeight="1" x14ac:dyDescent="0.2">
      <c r="A338">
        <v>0</v>
      </c>
      <c r="B338" t="s">
        <v>158</v>
      </c>
      <c r="C338" t="s">
        <v>12</v>
      </c>
      <c r="D338">
        <v>4013</v>
      </c>
      <c r="E338" t="s">
        <v>26</v>
      </c>
      <c r="F338">
        <v>0</v>
      </c>
      <c r="G338">
        <v>20200804</v>
      </c>
      <c r="H338" t="s">
        <v>161</v>
      </c>
      <c r="I338">
        <v>917</v>
      </c>
      <c r="J338" s="61" t="s">
        <v>175</v>
      </c>
      <c r="K338">
        <v>1</v>
      </c>
      <c r="L338">
        <v>174960</v>
      </c>
    </row>
    <row r="339" spans="1:12" ht="15" customHeight="1" x14ac:dyDescent="0.2">
      <c r="A339">
        <v>0</v>
      </c>
      <c r="B339" t="s">
        <v>158</v>
      </c>
      <c r="C339" t="s">
        <v>12</v>
      </c>
      <c r="D339">
        <v>4013</v>
      </c>
      <c r="E339" t="s">
        <v>26</v>
      </c>
      <c r="F339">
        <v>0</v>
      </c>
      <c r="G339">
        <v>20200801</v>
      </c>
      <c r="H339" t="s">
        <v>161</v>
      </c>
      <c r="I339">
        <v>917</v>
      </c>
      <c r="J339" s="61" t="s">
        <v>220</v>
      </c>
      <c r="K339">
        <v>1</v>
      </c>
      <c r="L339">
        <v>176365</v>
      </c>
    </row>
    <row r="340" spans="1:12" ht="15" customHeight="1" x14ac:dyDescent="0.2">
      <c r="A340">
        <v>0</v>
      </c>
      <c r="B340" t="s">
        <v>158</v>
      </c>
      <c r="C340" t="s">
        <v>12</v>
      </c>
      <c r="D340">
        <v>4013</v>
      </c>
      <c r="E340" t="s">
        <v>26</v>
      </c>
      <c r="F340">
        <v>0</v>
      </c>
      <c r="G340">
        <v>20200803</v>
      </c>
      <c r="H340" t="s">
        <v>161</v>
      </c>
      <c r="I340">
        <v>917</v>
      </c>
      <c r="J340" s="61" t="s">
        <v>171</v>
      </c>
      <c r="K340">
        <v>1</v>
      </c>
      <c r="L340">
        <v>179696</v>
      </c>
    </row>
    <row r="341" spans="1:12" ht="15" customHeight="1" x14ac:dyDescent="0.2">
      <c r="A341">
        <v>0</v>
      </c>
      <c r="B341" t="s">
        <v>158</v>
      </c>
      <c r="C341" t="s">
        <v>12</v>
      </c>
      <c r="D341">
        <v>4013</v>
      </c>
      <c r="E341" t="s">
        <v>26</v>
      </c>
      <c r="F341">
        <v>0</v>
      </c>
      <c r="G341">
        <v>20200804</v>
      </c>
      <c r="H341" t="s">
        <v>161</v>
      </c>
      <c r="I341">
        <v>917</v>
      </c>
      <c r="J341" s="61" t="s">
        <v>215</v>
      </c>
      <c r="K341">
        <v>1</v>
      </c>
      <c r="L341">
        <v>179777</v>
      </c>
    </row>
    <row r="342" spans="1:12" ht="15" customHeight="1" x14ac:dyDescent="0.2">
      <c r="A342">
        <v>0</v>
      </c>
      <c r="B342" t="s">
        <v>158</v>
      </c>
      <c r="C342" t="s">
        <v>12</v>
      </c>
      <c r="D342">
        <v>4013</v>
      </c>
      <c r="E342" t="s">
        <v>26</v>
      </c>
      <c r="F342">
        <v>0</v>
      </c>
      <c r="G342">
        <v>20200803</v>
      </c>
      <c r="H342" t="s">
        <v>161</v>
      </c>
      <c r="I342">
        <v>917</v>
      </c>
      <c r="J342" s="61" t="s">
        <v>175</v>
      </c>
      <c r="K342">
        <v>1</v>
      </c>
      <c r="L342">
        <v>180864</v>
      </c>
    </row>
    <row r="343" spans="1:12" ht="15" customHeight="1" x14ac:dyDescent="0.2">
      <c r="A343">
        <v>0</v>
      </c>
      <c r="B343" t="s">
        <v>158</v>
      </c>
      <c r="C343" t="s">
        <v>12</v>
      </c>
      <c r="D343">
        <v>4013</v>
      </c>
      <c r="E343" t="s">
        <v>26</v>
      </c>
      <c r="F343">
        <v>0</v>
      </c>
      <c r="G343">
        <v>20200803</v>
      </c>
      <c r="H343" t="s">
        <v>161</v>
      </c>
      <c r="I343">
        <v>917</v>
      </c>
      <c r="J343" s="61" t="s">
        <v>175</v>
      </c>
      <c r="K343">
        <v>1</v>
      </c>
      <c r="L343">
        <v>181395</v>
      </c>
    </row>
    <row r="344" spans="1:12" ht="15" customHeight="1" x14ac:dyDescent="0.2">
      <c r="A344">
        <v>0</v>
      </c>
      <c r="B344" t="s">
        <v>158</v>
      </c>
      <c r="C344" t="s">
        <v>12</v>
      </c>
      <c r="D344">
        <v>4013</v>
      </c>
      <c r="E344" t="s">
        <v>26</v>
      </c>
      <c r="F344">
        <v>0</v>
      </c>
      <c r="G344">
        <v>20200804</v>
      </c>
      <c r="H344" t="s">
        <v>161</v>
      </c>
      <c r="I344">
        <v>917</v>
      </c>
      <c r="J344" s="61" t="s">
        <v>172</v>
      </c>
      <c r="K344">
        <v>1</v>
      </c>
      <c r="L344">
        <v>182575</v>
      </c>
    </row>
    <row r="345" spans="1:12" ht="15" customHeight="1" x14ac:dyDescent="0.2">
      <c r="A345">
        <v>0</v>
      </c>
      <c r="B345" t="s">
        <v>158</v>
      </c>
      <c r="C345" t="s">
        <v>12</v>
      </c>
      <c r="D345">
        <v>4013</v>
      </c>
      <c r="E345" t="s">
        <v>26</v>
      </c>
      <c r="F345">
        <v>0</v>
      </c>
      <c r="G345">
        <v>20200804</v>
      </c>
      <c r="H345" t="s">
        <v>161</v>
      </c>
      <c r="I345">
        <v>917</v>
      </c>
      <c r="J345" s="61" t="s">
        <v>166</v>
      </c>
      <c r="K345">
        <v>1</v>
      </c>
      <c r="L345">
        <v>184750</v>
      </c>
    </row>
    <row r="346" spans="1:12" ht="15" customHeight="1" x14ac:dyDescent="0.2">
      <c r="A346">
        <v>0</v>
      </c>
      <c r="B346" t="s">
        <v>158</v>
      </c>
      <c r="C346" t="s">
        <v>12</v>
      </c>
      <c r="D346">
        <v>4013</v>
      </c>
      <c r="E346" t="s">
        <v>26</v>
      </c>
      <c r="F346">
        <v>0</v>
      </c>
      <c r="G346">
        <v>20200804</v>
      </c>
      <c r="H346" t="s">
        <v>161</v>
      </c>
      <c r="I346">
        <v>917</v>
      </c>
      <c r="J346" s="61" t="s">
        <v>202</v>
      </c>
      <c r="K346">
        <v>1</v>
      </c>
      <c r="L346">
        <v>187476</v>
      </c>
    </row>
    <row r="347" spans="1:12" ht="15" customHeight="1" x14ac:dyDescent="0.2">
      <c r="A347">
        <v>0</v>
      </c>
      <c r="B347" t="s">
        <v>158</v>
      </c>
      <c r="C347" t="s">
        <v>12</v>
      </c>
      <c r="D347">
        <v>4013</v>
      </c>
      <c r="E347" t="s">
        <v>26</v>
      </c>
      <c r="F347">
        <v>0</v>
      </c>
      <c r="G347">
        <v>20200801</v>
      </c>
      <c r="H347" t="s">
        <v>161</v>
      </c>
      <c r="I347">
        <v>917</v>
      </c>
      <c r="J347" s="61" t="s">
        <v>175</v>
      </c>
      <c r="K347">
        <v>1</v>
      </c>
      <c r="L347">
        <v>190339</v>
      </c>
    </row>
    <row r="348" spans="1:12" ht="15" customHeight="1" x14ac:dyDescent="0.2">
      <c r="A348">
        <v>0</v>
      </c>
      <c r="B348" t="s">
        <v>125</v>
      </c>
      <c r="C348" t="s">
        <v>12</v>
      </c>
      <c r="D348">
        <v>4013</v>
      </c>
      <c r="E348" t="s">
        <v>26</v>
      </c>
      <c r="F348">
        <v>0</v>
      </c>
      <c r="G348">
        <v>20200804</v>
      </c>
      <c r="H348" t="s">
        <v>177</v>
      </c>
      <c r="I348">
        <v>839</v>
      </c>
      <c r="J348" s="61" t="s">
        <v>215</v>
      </c>
      <c r="K348">
        <v>1</v>
      </c>
      <c r="L348">
        <v>193476</v>
      </c>
    </row>
    <row r="349" spans="1:12" ht="15" customHeight="1" x14ac:dyDescent="0.2">
      <c r="A349">
        <v>0</v>
      </c>
      <c r="B349" t="s">
        <v>158</v>
      </c>
      <c r="C349" t="s">
        <v>12</v>
      </c>
      <c r="D349">
        <v>4013</v>
      </c>
      <c r="E349" t="s">
        <v>26</v>
      </c>
      <c r="F349">
        <v>0</v>
      </c>
      <c r="G349">
        <v>20200803</v>
      </c>
      <c r="H349" t="s">
        <v>161</v>
      </c>
      <c r="I349">
        <v>917</v>
      </c>
      <c r="J349" s="61" t="s">
        <v>189</v>
      </c>
      <c r="K349">
        <v>1</v>
      </c>
      <c r="L349">
        <v>195430</v>
      </c>
    </row>
    <row r="350" spans="1:12" ht="15" customHeight="1" x14ac:dyDescent="0.2">
      <c r="A350">
        <v>0</v>
      </c>
      <c r="B350" t="s">
        <v>158</v>
      </c>
      <c r="C350" t="s">
        <v>12</v>
      </c>
      <c r="D350">
        <v>4013</v>
      </c>
      <c r="E350" t="s">
        <v>26</v>
      </c>
      <c r="F350">
        <v>0</v>
      </c>
      <c r="G350">
        <v>20200801</v>
      </c>
      <c r="H350" t="s">
        <v>161</v>
      </c>
      <c r="I350">
        <v>917</v>
      </c>
      <c r="J350" s="61" t="s">
        <v>175</v>
      </c>
      <c r="K350">
        <v>1</v>
      </c>
      <c r="L350">
        <v>196223</v>
      </c>
    </row>
    <row r="351" spans="1:12" ht="15" customHeight="1" x14ac:dyDescent="0.2">
      <c r="A351">
        <v>0</v>
      </c>
      <c r="B351" t="s">
        <v>158</v>
      </c>
      <c r="C351" t="s">
        <v>12</v>
      </c>
      <c r="D351">
        <v>4013</v>
      </c>
      <c r="E351" t="s">
        <v>26</v>
      </c>
      <c r="F351">
        <v>0</v>
      </c>
      <c r="G351">
        <v>20200803</v>
      </c>
      <c r="H351" t="s">
        <v>161</v>
      </c>
      <c r="I351">
        <v>917</v>
      </c>
      <c r="J351" s="61" t="s">
        <v>221</v>
      </c>
      <c r="K351">
        <v>1</v>
      </c>
      <c r="L351">
        <v>197029</v>
      </c>
    </row>
    <row r="352" spans="1:12" ht="15" customHeight="1" x14ac:dyDescent="0.2">
      <c r="A352">
        <v>0</v>
      </c>
      <c r="B352" t="s">
        <v>158</v>
      </c>
      <c r="C352" t="s">
        <v>12</v>
      </c>
      <c r="D352">
        <v>4017</v>
      </c>
      <c r="E352" t="s">
        <v>29</v>
      </c>
      <c r="F352">
        <v>0</v>
      </c>
      <c r="G352">
        <v>20200803</v>
      </c>
      <c r="H352" t="s">
        <v>161</v>
      </c>
      <c r="I352">
        <v>917</v>
      </c>
      <c r="J352" s="61" t="s">
        <v>208</v>
      </c>
      <c r="K352">
        <v>1</v>
      </c>
      <c r="L352">
        <v>197997</v>
      </c>
    </row>
    <row r="353" spans="1:12" ht="15" customHeight="1" x14ac:dyDescent="0.2">
      <c r="A353">
        <v>0</v>
      </c>
      <c r="B353" t="s">
        <v>158</v>
      </c>
      <c r="C353" t="s">
        <v>12</v>
      </c>
      <c r="D353">
        <v>4013</v>
      </c>
      <c r="E353" t="s">
        <v>26</v>
      </c>
      <c r="F353">
        <v>0</v>
      </c>
      <c r="G353">
        <v>20200804</v>
      </c>
      <c r="H353" t="s">
        <v>161</v>
      </c>
      <c r="I353">
        <v>917</v>
      </c>
      <c r="J353" s="61" t="s">
        <v>215</v>
      </c>
      <c r="K353">
        <v>1</v>
      </c>
      <c r="L353">
        <v>199764</v>
      </c>
    </row>
    <row r="354" spans="1:12" ht="15" customHeight="1" x14ac:dyDescent="0.2">
      <c r="A354">
        <v>0</v>
      </c>
      <c r="B354" t="s">
        <v>222</v>
      </c>
      <c r="C354" t="s">
        <v>12</v>
      </c>
      <c r="D354">
        <v>4017</v>
      </c>
      <c r="E354" t="s">
        <v>29</v>
      </c>
      <c r="F354">
        <v>0</v>
      </c>
      <c r="G354">
        <v>20200804</v>
      </c>
      <c r="H354" t="s">
        <v>222</v>
      </c>
      <c r="I354">
        <v>709</v>
      </c>
      <c r="J354" s="61" t="s">
        <v>166</v>
      </c>
      <c r="K354">
        <v>1</v>
      </c>
      <c r="L354">
        <v>199998</v>
      </c>
    </row>
    <row r="355" spans="1:12" ht="15" customHeight="1" x14ac:dyDescent="0.2">
      <c r="A355">
        <v>0</v>
      </c>
      <c r="B355" t="s">
        <v>158</v>
      </c>
      <c r="C355" t="s">
        <v>12</v>
      </c>
      <c r="D355">
        <v>4013</v>
      </c>
      <c r="E355" t="s">
        <v>26</v>
      </c>
      <c r="F355">
        <v>0</v>
      </c>
      <c r="G355">
        <v>20200803</v>
      </c>
      <c r="H355" t="s">
        <v>161</v>
      </c>
      <c r="I355">
        <v>917</v>
      </c>
      <c r="J355" s="61" t="s">
        <v>196</v>
      </c>
      <c r="K355">
        <v>1</v>
      </c>
      <c r="L355">
        <v>200000</v>
      </c>
    </row>
    <row r="356" spans="1:12" ht="15" customHeight="1" x14ac:dyDescent="0.2">
      <c r="A356">
        <v>0</v>
      </c>
      <c r="B356" t="s">
        <v>158</v>
      </c>
      <c r="C356" t="s">
        <v>12</v>
      </c>
      <c r="D356">
        <v>4013</v>
      </c>
      <c r="E356" t="s">
        <v>26</v>
      </c>
      <c r="F356">
        <v>0</v>
      </c>
      <c r="G356">
        <v>20200803</v>
      </c>
      <c r="H356" t="s">
        <v>161</v>
      </c>
      <c r="I356">
        <v>917</v>
      </c>
      <c r="J356" s="61" t="s">
        <v>197</v>
      </c>
      <c r="K356">
        <v>1</v>
      </c>
      <c r="L356">
        <v>200000</v>
      </c>
    </row>
    <row r="357" spans="1:12" ht="15" customHeight="1" x14ac:dyDescent="0.2">
      <c r="A357">
        <v>0</v>
      </c>
      <c r="B357" t="s">
        <v>125</v>
      </c>
      <c r="C357" t="s">
        <v>12</v>
      </c>
      <c r="D357">
        <v>6842</v>
      </c>
      <c r="E357" t="s">
        <v>157</v>
      </c>
      <c r="F357">
        <v>0</v>
      </c>
      <c r="G357">
        <v>20200803</v>
      </c>
      <c r="H357" t="s">
        <v>128</v>
      </c>
      <c r="I357">
        <v>39</v>
      </c>
      <c r="J357">
        <v>1020743277</v>
      </c>
      <c r="K357">
        <v>1</v>
      </c>
      <c r="L357">
        <v>200000</v>
      </c>
    </row>
    <row r="358" spans="1:12" ht="15" customHeight="1" x14ac:dyDescent="0.2">
      <c r="A358">
        <v>0</v>
      </c>
      <c r="B358" t="s">
        <v>158</v>
      </c>
      <c r="C358" t="s">
        <v>12</v>
      </c>
      <c r="D358">
        <v>4013</v>
      </c>
      <c r="E358" t="s">
        <v>26</v>
      </c>
      <c r="F358">
        <v>0</v>
      </c>
      <c r="G358">
        <v>20200804</v>
      </c>
      <c r="H358" t="s">
        <v>161</v>
      </c>
      <c r="I358">
        <v>917</v>
      </c>
      <c r="J358" s="61" t="s">
        <v>185</v>
      </c>
      <c r="K358">
        <v>1</v>
      </c>
      <c r="L358">
        <v>200000</v>
      </c>
    </row>
    <row r="359" spans="1:12" ht="15" customHeight="1" x14ac:dyDescent="0.2">
      <c r="A359">
        <v>0</v>
      </c>
      <c r="B359" t="s">
        <v>158</v>
      </c>
      <c r="C359" t="s">
        <v>12</v>
      </c>
      <c r="D359">
        <v>4013</v>
      </c>
      <c r="E359" t="s">
        <v>26</v>
      </c>
      <c r="F359">
        <v>0</v>
      </c>
      <c r="G359">
        <v>20200804</v>
      </c>
      <c r="H359" t="s">
        <v>161</v>
      </c>
      <c r="I359">
        <v>917</v>
      </c>
      <c r="J359" s="61" t="s">
        <v>197</v>
      </c>
      <c r="K359">
        <v>1</v>
      </c>
      <c r="L359">
        <v>200000</v>
      </c>
    </row>
    <row r="360" spans="1:12" ht="15" customHeight="1" x14ac:dyDescent="0.2">
      <c r="A360">
        <v>0</v>
      </c>
      <c r="B360" t="s">
        <v>158</v>
      </c>
      <c r="C360" t="s">
        <v>12</v>
      </c>
      <c r="D360">
        <v>4013</v>
      </c>
      <c r="E360" t="s">
        <v>26</v>
      </c>
      <c r="F360">
        <v>0</v>
      </c>
      <c r="G360">
        <v>20200804</v>
      </c>
      <c r="H360" t="s">
        <v>161</v>
      </c>
      <c r="I360">
        <v>917</v>
      </c>
      <c r="J360" s="61" t="s">
        <v>172</v>
      </c>
      <c r="K360">
        <v>1</v>
      </c>
      <c r="L360">
        <v>200169</v>
      </c>
    </row>
    <row r="361" spans="1:12" ht="15" customHeight="1" x14ac:dyDescent="0.2">
      <c r="A361">
        <v>0</v>
      </c>
      <c r="B361" t="s">
        <v>158</v>
      </c>
      <c r="C361" t="s">
        <v>12</v>
      </c>
      <c r="D361">
        <v>4013</v>
      </c>
      <c r="E361" t="s">
        <v>26</v>
      </c>
      <c r="F361">
        <v>0</v>
      </c>
      <c r="G361">
        <v>20200803</v>
      </c>
      <c r="H361" t="s">
        <v>161</v>
      </c>
      <c r="I361">
        <v>917</v>
      </c>
      <c r="J361" s="61" t="s">
        <v>194</v>
      </c>
      <c r="K361">
        <v>1</v>
      </c>
      <c r="L361">
        <v>201751</v>
      </c>
    </row>
    <row r="362" spans="1:12" ht="15" customHeight="1" x14ac:dyDescent="0.2">
      <c r="A362">
        <v>0</v>
      </c>
      <c r="B362" t="s">
        <v>158</v>
      </c>
      <c r="C362" t="s">
        <v>12</v>
      </c>
      <c r="D362">
        <v>4013</v>
      </c>
      <c r="E362" t="s">
        <v>26</v>
      </c>
      <c r="F362">
        <v>0</v>
      </c>
      <c r="G362">
        <v>20200804</v>
      </c>
      <c r="H362" t="s">
        <v>161</v>
      </c>
      <c r="I362">
        <v>917</v>
      </c>
      <c r="J362" s="61" t="s">
        <v>172</v>
      </c>
      <c r="K362">
        <v>1</v>
      </c>
      <c r="L362">
        <v>202408</v>
      </c>
    </row>
    <row r="363" spans="1:12" ht="15" customHeight="1" x14ac:dyDescent="0.2">
      <c r="A363">
        <v>0</v>
      </c>
      <c r="B363" t="s">
        <v>158</v>
      </c>
      <c r="C363" t="s">
        <v>12</v>
      </c>
      <c r="D363">
        <v>4013</v>
      </c>
      <c r="E363" t="s">
        <v>26</v>
      </c>
      <c r="F363">
        <v>0</v>
      </c>
      <c r="G363">
        <v>20200803</v>
      </c>
      <c r="H363" t="s">
        <v>161</v>
      </c>
      <c r="I363">
        <v>917</v>
      </c>
      <c r="J363" s="61" t="s">
        <v>175</v>
      </c>
      <c r="K363">
        <v>1</v>
      </c>
      <c r="L363">
        <v>203786</v>
      </c>
    </row>
    <row r="364" spans="1:12" ht="15" customHeight="1" x14ac:dyDescent="0.2">
      <c r="A364">
        <v>0</v>
      </c>
      <c r="B364" t="s">
        <v>158</v>
      </c>
      <c r="C364" t="s">
        <v>12</v>
      </c>
      <c r="D364">
        <v>4013</v>
      </c>
      <c r="E364" t="s">
        <v>26</v>
      </c>
      <c r="F364">
        <v>0</v>
      </c>
      <c r="G364">
        <v>20200803</v>
      </c>
      <c r="H364" t="s">
        <v>161</v>
      </c>
      <c r="I364">
        <v>917</v>
      </c>
      <c r="J364" s="61" t="s">
        <v>171</v>
      </c>
      <c r="K364">
        <v>1</v>
      </c>
      <c r="L364">
        <v>204909</v>
      </c>
    </row>
    <row r="365" spans="1:12" ht="15" customHeight="1" x14ac:dyDescent="0.2">
      <c r="A365">
        <v>0</v>
      </c>
      <c r="B365" t="s">
        <v>125</v>
      </c>
      <c r="C365" t="s">
        <v>12</v>
      </c>
      <c r="D365">
        <v>4013</v>
      </c>
      <c r="E365" t="s">
        <v>26</v>
      </c>
      <c r="F365">
        <v>0</v>
      </c>
      <c r="G365">
        <v>20200804</v>
      </c>
      <c r="H365" t="s">
        <v>223</v>
      </c>
      <c r="I365">
        <v>361</v>
      </c>
      <c r="J365" s="61" t="s">
        <v>224</v>
      </c>
      <c r="K365">
        <v>1</v>
      </c>
      <c r="L365">
        <v>206660</v>
      </c>
    </row>
    <row r="366" spans="1:12" ht="15" customHeight="1" x14ac:dyDescent="0.2">
      <c r="A366">
        <v>0</v>
      </c>
      <c r="B366" t="s">
        <v>158</v>
      </c>
      <c r="C366" t="s">
        <v>12</v>
      </c>
      <c r="D366">
        <v>4013</v>
      </c>
      <c r="E366" t="s">
        <v>26</v>
      </c>
      <c r="F366">
        <v>0</v>
      </c>
      <c r="G366">
        <v>20200803</v>
      </c>
      <c r="H366" t="s">
        <v>161</v>
      </c>
      <c r="I366">
        <v>917</v>
      </c>
      <c r="J366" s="61" t="s">
        <v>172</v>
      </c>
      <c r="K366">
        <v>1</v>
      </c>
      <c r="L366">
        <v>208326</v>
      </c>
    </row>
    <row r="367" spans="1:12" ht="15" customHeight="1" x14ac:dyDescent="0.2">
      <c r="A367">
        <v>0</v>
      </c>
      <c r="B367" t="s">
        <v>125</v>
      </c>
      <c r="C367" t="s">
        <v>12</v>
      </c>
      <c r="D367">
        <v>6842</v>
      </c>
      <c r="E367" t="s">
        <v>157</v>
      </c>
      <c r="F367">
        <v>0</v>
      </c>
      <c r="G367">
        <v>20200802</v>
      </c>
      <c r="H367" t="s">
        <v>128</v>
      </c>
      <c r="I367">
        <v>39</v>
      </c>
      <c r="J367">
        <v>80227691</v>
      </c>
      <c r="K367">
        <v>1</v>
      </c>
      <c r="L367">
        <v>208664</v>
      </c>
    </row>
    <row r="368" spans="1:12" ht="15" customHeight="1" x14ac:dyDescent="0.2">
      <c r="A368">
        <v>0</v>
      </c>
      <c r="B368" t="s">
        <v>190</v>
      </c>
      <c r="C368" t="s">
        <v>12</v>
      </c>
      <c r="D368">
        <v>4017</v>
      </c>
      <c r="E368" t="s">
        <v>29</v>
      </c>
      <c r="F368">
        <v>0</v>
      </c>
      <c r="G368">
        <v>20200803</v>
      </c>
      <c r="H368" t="s">
        <v>190</v>
      </c>
      <c r="I368">
        <v>318</v>
      </c>
      <c r="J368" s="61" t="s">
        <v>202</v>
      </c>
      <c r="K368">
        <v>1</v>
      </c>
      <c r="L368">
        <v>208684</v>
      </c>
    </row>
    <row r="369" spans="1:12" ht="15" customHeight="1" x14ac:dyDescent="0.2">
      <c r="A369">
        <v>0</v>
      </c>
      <c r="B369" t="s">
        <v>125</v>
      </c>
      <c r="C369" t="s">
        <v>12</v>
      </c>
      <c r="D369">
        <v>4013</v>
      </c>
      <c r="E369" t="s">
        <v>26</v>
      </c>
      <c r="F369">
        <v>0</v>
      </c>
      <c r="G369">
        <v>20200804</v>
      </c>
      <c r="H369" t="s">
        <v>223</v>
      </c>
      <c r="I369">
        <v>361</v>
      </c>
      <c r="J369" s="61" t="s">
        <v>225</v>
      </c>
      <c r="K369">
        <v>1</v>
      </c>
      <c r="L369">
        <v>208771</v>
      </c>
    </row>
    <row r="370" spans="1:12" ht="15" customHeight="1" x14ac:dyDescent="0.2">
      <c r="A370">
        <v>0</v>
      </c>
      <c r="B370" t="s">
        <v>158</v>
      </c>
      <c r="C370" t="s">
        <v>12</v>
      </c>
      <c r="D370">
        <v>4013</v>
      </c>
      <c r="E370" t="s">
        <v>26</v>
      </c>
      <c r="F370">
        <v>0</v>
      </c>
      <c r="G370">
        <v>20200803</v>
      </c>
      <c r="H370" t="s">
        <v>161</v>
      </c>
      <c r="I370">
        <v>917</v>
      </c>
      <c r="J370" s="61" t="s">
        <v>175</v>
      </c>
      <c r="K370">
        <v>1</v>
      </c>
      <c r="L370">
        <v>210151</v>
      </c>
    </row>
    <row r="371" spans="1:12" ht="15" customHeight="1" x14ac:dyDescent="0.2">
      <c r="A371">
        <v>0</v>
      </c>
      <c r="B371" t="s">
        <v>158</v>
      </c>
      <c r="C371" t="s">
        <v>12</v>
      </c>
      <c r="D371">
        <v>4013</v>
      </c>
      <c r="E371" t="s">
        <v>26</v>
      </c>
      <c r="F371">
        <v>0</v>
      </c>
      <c r="G371">
        <v>20200801</v>
      </c>
      <c r="H371" t="s">
        <v>161</v>
      </c>
      <c r="I371">
        <v>917</v>
      </c>
      <c r="J371" s="61" t="s">
        <v>175</v>
      </c>
      <c r="K371">
        <v>1</v>
      </c>
      <c r="L371">
        <v>212338</v>
      </c>
    </row>
    <row r="372" spans="1:12" ht="15" customHeight="1" x14ac:dyDescent="0.2">
      <c r="A372">
        <v>0</v>
      </c>
      <c r="B372" t="s">
        <v>158</v>
      </c>
      <c r="C372" t="s">
        <v>12</v>
      </c>
      <c r="D372">
        <v>4013</v>
      </c>
      <c r="E372" t="s">
        <v>26</v>
      </c>
      <c r="F372">
        <v>0</v>
      </c>
      <c r="G372">
        <v>20200803</v>
      </c>
      <c r="H372" t="s">
        <v>161</v>
      </c>
      <c r="I372">
        <v>917</v>
      </c>
      <c r="J372" s="61" t="s">
        <v>166</v>
      </c>
      <c r="K372">
        <v>1</v>
      </c>
      <c r="L372">
        <v>212442</v>
      </c>
    </row>
    <row r="373" spans="1:12" ht="15" customHeight="1" x14ac:dyDescent="0.2">
      <c r="A373">
        <v>0</v>
      </c>
      <c r="B373" t="s">
        <v>158</v>
      </c>
      <c r="C373" t="s">
        <v>12</v>
      </c>
      <c r="D373">
        <v>4013</v>
      </c>
      <c r="E373" t="s">
        <v>26</v>
      </c>
      <c r="F373">
        <v>0</v>
      </c>
      <c r="G373">
        <v>20200803</v>
      </c>
      <c r="H373" t="s">
        <v>161</v>
      </c>
      <c r="I373">
        <v>917</v>
      </c>
      <c r="J373" s="61" t="s">
        <v>166</v>
      </c>
      <c r="K373">
        <v>1</v>
      </c>
      <c r="L373">
        <v>212479</v>
      </c>
    </row>
    <row r="374" spans="1:12" ht="15" customHeight="1" x14ac:dyDescent="0.2">
      <c r="A374">
        <v>0</v>
      </c>
      <c r="B374" t="s">
        <v>158</v>
      </c>
      <c r="C374" t="s">
        <v>12</v>
      </c>
      <c r="D374">
        <v>4013</v>
      </c>
      <c r="E374" t="s">
        <v>26</v>
      </c>
      <c r="F374">
        <v>0</v>
      </c>
      <c r="G374">
        <v>20200803</v>
      </c>
      <c r="H374" t="s">
        <v>161</v>
      </c>
      <c r="I374">
        <v>917</v>
      </c>
      <c r="J374" s="61" t="s">
        <v>166</v>
      </c>
      <c r="K374">
        <v>1</v>
      </c>
      <c r="L374">
        <v>212479</v>
      </c>
    </row>
    <row r="375" spans="1:12" ht="15" customHeight="1" x14ac:dyDescent="0.2">
      <c r="A375">
        <v>0</v>
      </c>
      <c r="B375" t="s">
        <v>158</v>
      </c>
      <c r="C375" t="s">
        <v>12</v>
      </c>
      <c r="D375">
        <v>4017</v>
      </c>
      <c r="E375" t="s">
        <v>29</v>
      </c>
      <c r="F375">
        <v>0</v>
      </c>
      <c r="G375">
        <v>20200804</v>
      </c>
      <c r="H375" t="s">
        <v>159</v>
      </c>
      <c r="I375">
        <v>625</v>
      </c>
      <c r="J375" s="61" t="s">
        <v>225</v>
      </c>
      <c r="K375">
        <v>1</v>
      </c>
      <c r="L375">
        <v>212556</v>
      </c>
    </row>
    <row r="376" spans="1:12" ht="15" customHeight="1" x14ac:dyDescent="0.2">
      <c r="A376">
        <v>0</v>
      </c>
      <c r="B376" t="s">
        <v>125</v>
      </c>
      <c r="C376" t="s">
        <v>12</v>
      </c>
      <c r="D376">
        <v>6842</v>
      </c>
      <c r="E376" t="s">
        <v>157</v>
      </c>
      <c r="F376">
        <v>0</v>
      </c>
      <c r="G376">
        <v>20200802</v>
      </c>
      <c r="H376" t="s">
        <v>128</v>
      </c>
      <c r="I376">
        <v>39</v>
      </c>
      <c r="J376">
        <v>52838862</v>
      </c>
      <c r="K376">
        <v>1</v>
      </c>
      <c r="L376">
        <v>214000</v>
      </c>
    </row>
    <row r="377" spans="1:12" ht="15" customHeight="1" x14ac:dyDescent="0.2">
      <c r="A377">
        <v>0</v>
      </c>
      <c r="B377" t="s">
        <v>158</v>
      </c>
      <c r="C377" t="s">
        <v>12</v>
      </c>
      <c r="D377">
        <v>4013</v>
      </c>
      <c r="E377" t="s">
        <v>26</v>
      </c>
      <c r="F377">
        <v>0</v>
      </c>
      <c r="G377">
        <v>20200803</v>
      </c>
      <c r="H377" t="s">
        <v>161</v>
      </c>
      <c r="I377">
        <v>917</v>
      </c>
      <c r="J377" s="61" t="s">
        <v>166</v>
      </c>
      <c r="K377">
        <v>1</v>
      </c>
      <c r="L377">
        <v>214905</v>
      </c>
    </row>
    <row r="378" spans="1:12" ht="15" customHeight="1" x14ac:dyDescent="0.2">
      <c r="A378">
        <v>0</v>
      </c>
      <c r="B378" t="s">
        <v>158</v>
      </c>
      <c r="C378" t="s">
        <v>12</v>
      </c>
      <c r="D378">
        <v>4013</v>
      </c>
      <c r="E378" t="s">
        <v>26</v>
      </c>
      <c r="F378">
        <v>0</v>
      </c>
      <c r="G378">
        <v>20200804</v>
      </c>
      <c r="H378" t="s">
        <v>161</v>
      </c>
      <c r="I378">
        <v>917</v>
      </c>
      <c r="J378" s="61" t="s">
        <v>226</v>
      </c>
      <c r="K378">
        <v>1</v>
      </c>
      <c r="L378">
        <v>215974</v>
      </c>
    </row>
    <row r="379" spans="1:12" ht="15" customHeight="1" x14ac:dyDescent="0.2">
      <c r="A379">
        <v>0</v>
      </c>
      <c r="B379" t="s">
        <v>158</v>
      </c>
      <c r="C379" t="s">
        <v>12</v>
      </c>
      <c r="D379">
        <v>4013</v>
      </c>
      <c r="E379" t="s">
        <v>26</v>
      </c>
      <c r="F379">
        <v>0</v>
      </c>
      <c r="G379">
        <v>20200804</v>
      </c>
      <c r="H379" t="s">
        <v>161</v>
      </c>
      <c r="I379">
        <v>917</v>
      </c>
      <c r="J379" s="61" t="s">
        <v>202</v>
      </c>
      <c r="K379">
        <v>1</v>
      </c>
      <c r="L379">
        <v>217200</v>
      </c>
    </row>
    <row r="380" spans="1:12" ht="15" customHeight="1" x14ac:dyDescent="0.2">
      <c r="A380">
        <v>0</v>
      </c>
      <c r="B380" t="s">
        <v>158</v>
      </c>
      <c r="C380" t="s">
        <v>12</v>
      </c>
      <c r="D380">
        <v>4013</v>
      </c>
      <c r="E380" t="s">
        <v>26</v>
      </c>
      <c r="F380">
        <v>0</v>
      </c>
      <c r="G380">
        <v>20200804</v>
      </c>
      <c r="H380" t="s">
        <v>161</v>
      </c>
      <c r="I380">
        <v>917</v>
      </c>
      <c r="J380" s="61" t="s">
        <v>175</v>
      </c>
      <c r="K380">
        <v>1</v>
      </c>
      <c r="L380">
        <v>219864</v>
      </c>
    </row>
    <row r="381" spans="1:12" ht="15" customHeight="1" x14ac:dyDescent="0.2">
      <c r="A381">
        <v>0</v>
      </c>
      <c r="B381" t="s">
        <v>158</v>
      </c>
      <c r="C381" t="s">
        <v>12</v>
      </c>
      <c r="D381">
        <v>4013</v>
      </c>
      <c r="E381" t="s">
        <v>26</v>
      </c>
      <c r="F381">
        <v>0</v>
      </c>
      <c r="G381">
        <v>20200804</v>
      </c>
      <c r="H381" t="s">
        <v>161</v>
      </c>
      <c r="I381">
        <v>917</v>
      </c>
      <c r="J381" s="61" t="s">
        <v>202</v>
      </c>
      <c r="K381">
        <v>1</v>
      </c>
      <c r="L381">
        <v>220895</v>
      </c>
    </row>
    <row r="382" spans="1:12" ht="15" customHeight="1" x14ac:dyDescent="0.2">
      <c r="A382">
        <v>0</v>
      </c>
      <c r="B382" t="s">
        <v>158</v>
      </c>
      <c r="C382" t="s">
        <v>12</v>
      </c>
      <c r="D382">
        <v>4013</v>
      </c>
      <c r="E382" t="s">
        <v>26</v>
      </c>
      <c r="F382">
        <v>0</v>
      </c>
      <c r="G382">
        <v>20200803</v>
      </c>
      <c r="H382" t="s">
        <v>161</v>
      </c>
      <c r="I382">
        <v>917</v>
      </c>
      <c r="J382" s="61" t="s">
        <v>215</v>
      </c>
      <c r="K382">
        <v>1</v>
      </c>
      <c r="L382">
        <v>221606</v>
      </c>
    </row>
    <row r="383" spans="1:12" ht="15" customHeight="1" x14ac:dyDescent="0.2">
      <c r="A383">
        <v>0</v>
      </c>
      <c r="B383" t="s">
        <v>158</v>
      </c>
      <c r="C383" t="s">
        <v>12</v>
      </c>
      <c r="D383">
        <v>4013</v>
      </c>
      <c r="E383" t="s">
        <v>26</v>
      </c>
      <c r="F383">
        <v>0</v>
      </c>
      <c r="G383">
        <v>20200801</v>
      </c>
      <c r="H383" t="s">
        <v>161</v>
      </c>
      <c r="I383">
        <v>917</v>
      </c>
      <c r="J383" s="61" t="s">
        <v>175</v>
      </c>
      <c r="K383">
        <v>1</v>
      </c>
      <c r="L383">
        <v>221885</v>
      </c>
    </row>
    <row r="384" spans="1:12" ht="15" customHeight="1" x14ac:dyDescent="0.2">
      <c r="A384">
        <v>0</v>
      </c>
      <c r="B384" t="s">
        <v>125</v>
      </c>
      <c r="C384" t="s">
        <v>12</v>
      </c>
      <c r="D384">
        <v>6842</v>
      </c>
      <c r="E384" t="s">
        <v>157</v>
      </c>
      <c r="F384">
        <v>0</v>
      </c>
      <c r="G384">
        <v>20200803</v>
      </c>
      <c r="H384" t="s">
        <v>128</v>
      </c>
      <c r="I384">
        <v>39</v>
      </c>
      <c r="J384">
        <v>39691702</v>
      </c>
      <c r="K384">
        <v>1</v>
      </c>
      <c r="L384">
        <v>223000</v>
      </c>
    </row>
    <row r="385" spans="1:12" ht="15" customHeight="1" x14ac:dyDescent="0.2">
      <c r="A385">
        <v>0</v>
      </c>
      <c r="B385" t="s">
        <v>158</v>
      </c>
      <c r="C385" t="s">
        <v>12</v>
      </c>
      <c r="D385">
        <v>4013</v>
      </c>
      <c r="E385" t="s">
        <v>26</v>
      </c>
      <c r="F385">
        <v>0</v>
      </c>
      <c r="G385">
        <v>20200803</v>
      </c>
      <c r="H385" t="s">
        <v>161</v>
      </c>
      <c r="I385">
        <v>917</v>
      </c>
      <c r="J385" s="61" t="s">
        <v>226</v>
      </c>
      <c r="K385">
        <v>1</v>
      </c>
      <c r="L385">
        <v>223700</v>
      </c>
    </row>
    <row r="386" spans="1:12" ht="15" customHeight="1" x14ac:dyDescent="0.2">
      <c r="A386">
        <v>0</v>
      </c>
      <c r="B386" t="s">
        <v>158</v>
      </c>
      <c r="C386" t="s">
        <v>12</v>
      </c>
      <c r="D386">
        <v>4013</v>
      </c>
      <c r="E386" t="s">
        <v>26</v>
      </c>
      <c r="F386">
        <v>0</v>
      </c>
      <c r="G386">
        <v>20200804</v>
      </c>
      <c r="H386" t="s">
        <v>161</v>
      </c>
      <c r="I386">
        <v>917</v>
      </c>
      <c r="J386" s="61" t="s">
        <v>171</v>
      </c>
      <c r="K386">
        <v>1</v>
      </c>
      <c r="L386">
        <v>224193</v>
      </c>
    </row>
    <row r="387" spans="1:12" ht="15" customHeight="1" x14ac:dyDescent="0.2">
      <c r="A387">
        <v>0</v>
      </c>
      <c r="B387" t="s">
        <v>158</v>
      </c>
      <c r="C387" t="s">
        <v>12</v>
      </c>
      <c r="D387">
        <v>4013</v>
      </c>
      <c r="E387" t="s">
        <v>26</v>
      </c>
      <c r="F387">
        <v>0</v>
      </c>
      <c r="G387">
        <v>20200803</v>
      </c>
      <c r="H387" t="s">
        <v>161</v>
      </c>
      <c r="I387">
        <v>917</v>
      </c>
      <c r="J387" s="61" t="s">
        <v>172</v>
      </c>
      <c r="K387">
        <v>1</v>
      </c>
      <c r="L387">
        <v>225590</v>
      </c>
    </row>
    <row r="388" spans="1:12" ht="15" customHeight="1" x14ac:dyDescent="0.2">
      <c r="A388">
        <v>0</v>
      </c>
      <c r="B388" t="s">
        <v>158</v>
      </c>
      <c r="C388" t="s">
        <v>12</v>
      </c>
      <c r="D388">
        <v>4013</v>
      </c>
      <c r="E388" t="s">
        <v>26</v>
      </c>
      <c r="F388">
        <v>0</v>
      </c>
      <c r="G388">
        <v>20200804</v>
      </c>
      <c r="H388" t="s">
        <v>161</v>
      </c>
      <c r="I388">
        <v>917</v>
      </c>
      <c r="J388" s="61" t="s">
        <v>175</v>
      </c>
      <c r="K388">
        <v>1</v>
      </c>
      <c r="L388">
        <v>226789</v>
      </c>
    </row>
    <row r="389" spans="1:12" ht="15" customHeight="1" x14ac:dyDescent="0.2">
      <c r="A389">
        <v>0</v>
      </c>
      <c r="B389" t="s">
        <v>158</v>
      </c>
      <c r="C389" t="s">
        <v>12</v>
      </c>
      <c r="D389">
        <v>4013</v>
      </c>
      <c r="E389" t="s">
        <v>26</v>
      </c>
      <c r="F389">
        <v>0</v>
      </c>
      <c r="G389">
        <v>20200804</v>
      </c>
      <c r="H389" t="s">
        <v>161</v>
      </c>
      <c r="I389">
        <v>917</v>
      </c>
      <c r="J389" s="61" t="s">
        <v>194</v>
      </c>
      <c r="K389">
        <v>1</v>
      </c>
      <c r="L389">
        <v>227191</v>
      </c>
    </row>
    <row r="390" spans="1:12" ht="15" customHeight="1" x14ac:dyDescent="0.2">
      <c r="A390">
        <v>0</v>
      </c>
      <c r="B390" t="s">
        <v>158</v>
      </c>
      <c r="C390" t="s">
        <v>12</v>
      </c>
      <c r="D390">
        <v>4013</v>
      </c>
      <c r="E390" t="s">
        <v>26</v>
      </c>
      <c r="F390">
        <v>0</v>
      </c>
      <c r="G390">
        <v>20200801</v>
      </c>
      <c r="H390" t="s">
        <v>161</v>
      </c>
      <c r="I390">
        <v>917</v>
      </c>
      <c r="J390" s="61" t="s">
        <v>166</v>
      </c>
      <c r="K390">
        <v>1</v>
      </c>
      <c r="L390">
        <v>227288</v>
      </c>
    </row>
    <row r="391" spans="1:12" ht="15" customHeight="1" x14ac:dyDescent="0.2">
      <c r="A391">
        <v>0</v>
      </c>
      <c r="B391" t="s">
        <v>158</v>
      </c>
      <c r="C391" t="s">
        <v>12</v>
      </c>
      <c r="D391">
        <v>4013</v>
      </c>
      <c r="E391" t="s">
        <v>26</v>
      </c>
      <c r="F391">
        <v>0</v>
      </c>
      <c r="G391">
        <v>20200804</v>
      </c>
      <c r="H391" t="s">
        <v>161</v>
      </c>
      <c r="I391">
        <v>917</v>
      </c>
      <c r="J391" s="61" t="s">
        <v>175</v>
      </c>
      <c r="K391">
        <v>1</v>
      </c>
      <c r="L391">
        <v>231471</v>
      </c>
    </row>
    <row r="392" spans="1:12" ht="15" customHeight="1" x14ac:dyDescent="0.2">
      <c r="A392">
        <v>0</v>
      </c>
      <c r="B392" t="s">
        <v>158</v>
      </c>
      <c r="C392" t="s">
        <v>12</v>
      </c>
      <c r="D392">
        <v>4013</v>
      </c>
      <c r="E392" t="s">
        <v>26</v>
      </c>
      <c r="F392">
        <v>0</v>
      </c>
      <c r="G392">
        <v>20200803</v>
      </c>
      <c r="H392" t="s">
        <v>161</v>
      </c>
      <c r="I392">
        <v>917</v>
      </c>
      <c r="J392" s="61" t="s">
        <v>166</v>
      </c>
      <c r="K392">
        <v>1</v>
      </c>
      <c r="L392">
        <v>234341</v>
      </c>
    </row>
    <row r="393" spans="1:12" ht="15" customHeight="1" x14ac:dyDescent="0.2">
      <c r="A393">
        <v>0</v>
      </c>
      <c r="B393" t="s">
        <v>158</v>
      </c>
      <c r="C393" t="s">
        <v>12</v>
      </c>
      <c r="D393">
        <v>4013</v>
      </c>
      <c r="E393" t="s">
        <v>26</v>
      </c>
      <c r="F393">
        <v>0</v>
      </c>
      <c r="G393">
        <v>20200804</v>
      </c>
      <c r="H393" t="s">
        <v>161</v>
      </c>
      <c r="I393">
        <v>917</v>
      </c>
      <c r="J393" s="61" t="s">
        <v>195</v>
      </c>
      <c r="K393">
        <v>1</v>
      </c>
      <c r="L393">
        <v>236000</v>
      </c>
    </row>
    <row r="394" spans="1:12" ht="15" customHeight="1" x14ac:dyDescent="0.2">
      <c r="A394">
        <v>0</v>
      </c>
      <c r="B394" t="s">
        <v>158</v>
      </c>
      <c r="C394" t="s">
        <v>12</v>
      </c>
      <c r="D394">
        <v>4013</v>
      </c>
      <c r="E394" t="s">
        <v>26</v>
      </c>
      <c r="F394">
        <v>0</v>
      </c>
      <c r="G394">
        <v>20200804</v>
      </c>
      <c r="H394" t="s">
        <v>161</v>
      </c>
      <c r="I394">
        <v>917</v>
      </c>
      <c r="J394" s="61" t="s">
        <v>175</v>
      </c>
      <c r="K394">
        <v>1</v>
      </c>
      <c r="L394">
        <v>237327</v>
      </c>
    </row>
    <row r="395" spans="1:12" ht="15" customHeight="1" x14ac:dyDescent="0.2">
      <c r="A395">
        <v>0</v>
      </c>
      <c r="B395" t="s">
        <v>158</v>
      </c>
      <c r="C395" t="s">
        <v>12</v>
      </c>
      <c r="D395">
        <v>4013</v>
      </c>
      <c r="E395" t="s">
        <v>26</v>
      </c>
      <c r="F395">
        <v>0</v>
      </c>
      <c r="G395">
        <v>20200803</v>
      </c>
      <c r="H395" t="s">
        <v>161</v>
      </c>
      <c r="I395">
        <v>917</v>
      </c>
      <c r="J395" s="61" t="s">
        <v>194</v>
      </c>
      <c r="K395">
        <v>1</v>
      </c>
      <c r="L395">
        <v>237846</v>
      </c>
    </row>
    <row r="396" spans="1:12" ht="15" customHeight="1" x14ac:dyDescent="0.2">
      <c r="A396">
        <v>0</v>
      </c>
      <c r="B396" t="s">
        <v>125</v>
      </c>
      <c r="C396" t="s">
        <v>12</v>
      </c>
      <c r="D396">
        <v>4013</v>
      </c>
      <c r="E396" t="s">
        <v>26</v>
      </c>
      <c r="F396">
        <v>0</v>
      </c>
      <c r="G396">
        <v>20200804</v>
      </c>
      <c r="H396" t="s">
        <v>227</v>
      </c>
      <c r="I396">
        <v>141</v>
      </c>
      <c r="J396" s="61" t="s">
        <v>175</v>
      </c>
      <c r="K396">
        <v>1</v>
      </c>
      <c r="L396">
        <v>239516</v>
      </c>
    </row>
    <row r="397" spans="1:12" ht="15" customHeight="1" x14ac:dyDescent="0.2">
      <c r="A397">
        <v>0</v>
      </c>
      <c r="B397" t="s">
        <v>158</v>
      </c>
      <c r="C397" t="s">
        <v>12</v>
      </c>
      <c r="D397">
        <v>4013</v>
      </c>
      <c r="E397" t="s">
        <v>26</v>
      </c>
      <c r="F397">
        <v>0</v>
      </c>
      <c r="G397">
        <v>20200801</v>
      </c>
      <c r="H397" t="s">
        <v>161</v>
      </c>
      <c r="I397">
        <v>917</v>
      </c>
      <c r="J397" s="61" t="s">
        <v>166</v>
      </c>
      <c r="K397">
        <v>1</v>
      </c>
      <c r="L397">
        <v>239659</v>
      </c>
    </row>
    <row r="398" spans="1:12" ht="15" customHeight="1" x14ac:dyDescent="0.2">
      <c r="A398">
        <v>0</v>
      </c>
      <c r="B398" t="s">
        <v>158</v>
      </c>
      <c r="C398" t="s">
        <v>12</v>
      </c>
      <c r="D398">
        <v>4013</v>
      </c>
      <c r="E398" t="s">
        <v>26</v>
      </c>
      <c r="F398">
        <v>0</v>
      </c>
      <c r="G398">
        <v>20200804</v>
      </c>
      <c r="H398" t="s">
        <v>161</v>
      </c>
      <c r="I398">
        <v>917</v>
      </c>
      <c r="J398" s="61" t="s">
        <v>175</v>
      </c>
      <c r="K398">
        <v>1</v>
      </c>
      <c r="L398">
        <v>242780</v>
      </c>
    </row>
    <row r="399" spans="1:12" ht="15" customHeight="1" x14ac:dyDescent="0.2">
      <c r="A399">
        <v>0</v>
      </c>
      <c r="B399" t="s">
        <v>158</v>
      </c>
      <c r="C399" t="s">
        <v>12</v>
      </c>
      <c r="D399">
        <v>4013</v>
      </c>
      <c r="E399" t="s">
        <v>26</v>
      </c>
      <c r="F399">
        <v>0</v>
      </c>
      <c r="G399">
        <v>20200804</v>
      </c>
      <c r="H399" t="s">
        <v>161</v>
      </c>
      <c r="I399">
        <v>917</v>
      </c>
      <c r="J399" s="61" t="s">
        <v>171</v>
      </c>
      <c r="K399">
        <v>1</v>
      </c>
      <c r="L399">
        <v>243000</v>
      </c>
    </row>
    <row r="400" spans="1:12" ht="15" customHeight="1" x14ac:dyDescent="0.2">
      <c r="A400">
        <v>0</v>
      </c>
      <c r="B400" t="s">
        <v>158</v>
      </c>
      <c r="C400" t="s">
        <v>12</v>
      </c>
      <c r="D400">
        <v>4013</v>
      </c>
      <c r="E400" t="s">
        <v>26</v>
      </c>
      <c r="F400">
        <v>0</v>
      </c>
      <c r="G400">
        <v>20200803</v>
      </c>
      <c r="H400" t="s">
        <v>161</v>
      </c>
      <c r="I400">
        <v>917</v>
      </c>
      <c r="J400" s="61" t="s">
        <v>191</v>
      </c>
      <c r="K400">
        <v>1</v>
      </c>
      <c r="L400">
        <v>244000</v>
      </c>
    </row>
    <row r="401" spans="1:12" ht="15" customHeight="1" x14ac:dyDescent="0.2">
      <c r="A401">
        <v>0</v>
      </c>
      <c r="B401" t="s">
        <v>158</v>
      </c>
      <c r="C401" t="s">
        <v>12</v>
      </c>
      <c r="D401">
        <v>4013</v>
      </c>
      <c r="E401" t="s">
        <v>26</v>
      </c>
      <c r="F401">
        <v>0</v>
      </c>
      <c r="G401">
        <v>20200804</v>
      </c>
      <c r="H401" t="s">
        <v>161</v>
      </c>
      <c r="I401">
        <v>917</v>
      </c>
      <c r="J401" s="61" t="s">
        <v>172</v>
      </c>
      <c r="K401">
        <v>1</v>
      </c>
      <c r="L401">
        <v>245000</v>
      </c>
    </row>
    <row r="402" spans="1:12" ht="15" customHeight="1" x14ac:dyDescent="0.2">
      <c r="A402">
        <v>0</v>
      </c>
      <c r="B402" t="s">
        <v>158</v>
      </c>
      <c r="C402" t="s">
        <v>12</v>
      </c>
      <c r="D402">
        <v>4013</v>
      </c>
      <c r="E402" t="s">
        <v>26</v>
      </c>
      <c r="F402">
        <v>0</v>
      </c>
      <c r="G402">
        <v>20200804</v>
      </c>
      <c r="H402" t="s">
        <v>161</v>
      </c>
      <c r="I402">
        <v>917</v>
      </c>
      <c r="J402" s="61" t="s">
        <v>175</v>
      </c>
      <c r="K402">
        <v>1</v>
      </c>
      <c r="L402">
        <v>247669</v>
      </c>
    </row>
    <row r="403" spans="1:12" ht="15" customHeight="1" x14ac:dyDescent="0.2">
      <c r="A403">
        <v>0</v>
      </c>
      <c r="B403" t="s">
        <v>158</v>
      </c>
      <c r="C403" t="s">
        <v>12</v>
      </c>
      <c r="D403">
        <v>4013</v>
      </c>
      <c r="E403" t="s">
        <v>26</v>
      </c>
      <c r="F403">
        <v>0</v>
      </c>
      <c r="G403">
        <v>20200803</v>
      </c>
      <c r="H403" t="s">
        <v>161</v>
      </c>
      <c r="I403">
        <v>917</v>
      </c>
      <c r="J403" s="61" t="s">
        <v>175</v>
      </c>
      <c r="K403">
        <v>1</v>
      </c>
      <c r="L403">
        <v>247976</v>
      </c>
    </row>
    <row r="404" spans="1:12" ht="15" customHeight="1" x14ac:dyDescent="0.2">
      <c r="A404">
        <v>0</v>
      </c>
      <c r="B404" t="s">
        <v>158</v>
      </c>
      <c r="C404" t="s">
        <v>12</v>
      </c>
      <c r="D404">
        <v>4013</v>
      </c>
      <c r="E404" t="s">
        <v>26</v>
      </c>
      <c r="F404">
        <v>0</v>
      </c>
      <c r="G404">
        <v>20200801</v>
      </c>
      <c r="H404" t="s">
        <v>161</v>
      </c>
      <c r="I404">
        <v>917</v>
      </c>
      <c r="J404" s="61" t="s">
        <v>166</v>
      </c>
      <c r="K404">
        <v>1</v>
      </c>
      <c r="L404">
        <v>248672</v>
      </c>
    </row>
    <row r="405" spans="1:12" ht="15" customHeight="1" x14ac:dyDescent="0.2">
      <c r="A405">
        <v>0</v>
      </c>
      <c r="B405" t="s">
        <v>125</v>
      </c>
      <c r="C405" t="s">
        <v>12</v>
      </c>
      <c r="D405">
        <v>6842</v>
      </c>
      <c r="E405" t="s">
        <v>157</v>
      </c>
      <c r="F405">
        <v>0</v>
      </c>
      <c r="G405">
        <v>20200804</v>
      </c>
      <c r="H405" t="s">
        <v>128</v>
      </c>
      <c r="I405">
        <v>39</v>
      </c>
      <c r="J405">
        <v>79644618</v>
      </c>
      <c r="K405">
        <v>1</v>
      </c>
      <c r="L405">
        <v>249000</v>
      </c>
    </row>
    <row r="406" spans="1:12" ht="15" customHeight="1" x14ac:dyDescent="0.2">
      <c r="A406">
        <v>0</v>
      </c>
      <c r="B406" t="s">
        <v>158</v>
      </c>
      <c r="C406" t="s">
        <v>12</v>
      </c>
      <c r="D406">
        <v>4013</v>
      </c>
      <c r="E406" t="s">
        <v>26</v>
      </c>
      <c r="F406">
        <v>0</v>
      </c>
      <c r="G406">
        <v>20200804</v>
      </c>
      <c r="H406" t="s">
        <v>161</v>
      </c>
      <c r="I406">
        <v>917</v>
      </c>
      <c r="J406" s="61" t="s">
        <v>194</v>
      </c>
      <c r="K406">
        <v>1</v>
      </c>
      <c r="L406">
        <v>249271</v>
      </c>
    </row>
    <row r="407" spans="1:12" ht="15" customHeight="1" x14ac:dyDescent="0.2">
      <c r="A407">
        <v>0</v>
      </c>
      <c r="B407" t="s">
        <v>158</v>
      </c>
      <c r="C407" t="s">
        <v>12</v>
      </c>
      <c r="D407">
        <v>4013</v>
      </c>
      <c r="E407" t="s">
        <v>26</v>
      </c>
      <c r="F407">
        <v>0</v>
      </c>
      <c r="G407">
        <v>20200804</v>
      </c>
      <c r="H407" t="s">
        <v>161</v>
      </c>
      <c r="I407">
        <v>917</v>
      </c>
      <c r="J407" s="61" t="s">
        <v>166</v>
      </c>
      <c r="K407">
        <v>1</v>
      </c>
      <c r="L407">
        <v>249387</v>
      </c>
    </row>
    <row r="408" spans="1:12" ht="15" customHeight="1" x14ac:dyDescent="0.2">
      <c r="A408">
        <v>0</v>
      </c>
      <c r="B408" t="s">
        <v>158</v>
      </c>
      <c r="C408" t="s">
        <v>12</v>
      </c>
      <c r="D408">
        <v>4013</v>
      </c>
      <c r="E408" t="s">
        <v>26</v>
      </c>
      <c r="F408">
        <v>0</v>
      </c>
      <c r="G408">
        <v>20200801</v>
      </c>
      <c r="H408" t="s">
        <v>161</v>
      </c>
      <c r="I408">
        <v>917</v>
      </c>
      <c r="J408" s="61" t="s">
        <v>175</v>
      </c>
      <c r="K408">
        <v>1</v>
      </c>
      <c r="L408">
        <v>250000</v>
      </c>
    </row>
    <row r="409" spans="1:12" ht="15" customHeight="1" x14ac:dyDescent="0.2">
      <c r="A409">
        <v>0</v>
      </c>
      <c r="B409" t="s">
        <v>158</v>
      </c>
      <c r="C409" t="s">
        <v>12</v>
      </c>
      <c r="D409">
        <v>4013</v>
      </c>
      <c r="E409" t="s">
        <v>26</v>
      </c>
      <c r="F409">
        <v>0</v>
      </c>
      <c r="G409">
        <v>20200803</v>
      </c>
      <c r="H409" t="s">
        <v>161</v>
      </c>
      <c r="I409">
        <v>917</v>
      </c>
      <c r="J409" s="61" t="s">
        <v>172</v>
      </c>
      <c r="K409">
        <v>1</v>
      </c>
      <c r="L409">
        <v>250000</v>
      </c>
    </row>
    <row r="410" spans="1:12" ht="15" customHeight="1" x14ac:dyDescent="0.2">
      <c r="A410">
        <v>0</v>
      </c>
      <c r="B410" t="s">
        <v>158</v>
      </c>
      <c r="C410" t="s">
        <v>12</v>
      </c>
      <c r="D410">
        <v>4013</v>
      </c>
      <c r="E410" t="s">
        <v>26</v>
      </c>
      <c r="F410">
        <v>0</v>
      </c>
      <c r="G410">
        <v>20200803</v>
      </c>
      <c r="H410" t="s">
        <v>161</v>
      </c>
      <c r="I410">
        <v>917</v>
      </c>
      <c r="J410" s="61" t="s">
        <v>175</v>
      </c>
      <c r="K410">
        <v>1</v>
      </c>
      <c r="L410">
        <v>251000</v>
      </c>
    </row>
    <row r="411" spans="1:12" ht="15" customHeight="1" x14ac:dyDescent="0.2">
      <c r="A411">
        <v>0</v>
      </c>
      <c r="B411" t="s">
        <v>158</v>
      </c>
      <c r="C411" t="s">
        <v>12</v>
      </c>
      <c r="D411">
        <v>4013</v>
      </c>
      <c r="E411" t="s">
        <v>26</v>
      </c>
      <c r="F411">
        <v>0</v>
      </c>
      <c r="G411">
        <v>20200804</v>
      </c>
      <c r="H411" t="s">
        <v>161</v>
      </c>
      <c r="I411">
        <v>917</v>
      </c>
      <c r="J411" s="61" t="s">
        <v>175</v>
      </c>
      <c r="K411">
        <v>1</v>
      </c>
      <c r="L411">
        <v>251194</v>
      </c>
    </row>
    <row r="412" spans="1:12" ht="15" customHeight="1" x14ac:dyDescent="0.2">
      <c r="A412">
        <v>0</v>
      </c>
      <c r="B412" t="s">
        <v>158</v>
      </c>
      <c r="C412" t="s">
        <v>12</v>
      </c>
      <c r="D412">
        <v>4013</v>
      </c>
      <c r="E412" t="s">
        <v>26</v>
      </c>
      <c r="F412">
        <v>0</v>
      </c>
      <c r="G412">
        <v>20200801</v>
      </c>
      <c r="H412" t="s">
        <v>161</v>
      </c>
      <c r="I412">
        <v>917</v>
      </c>
      <c r="J412" s="61" t="s">
        <v>208</v>
      </c>
      <c r="K412">
        <v>1</v>
      </c>
      <c r="L412">
        <v>253000</v>
      </c>
    </row>
    <row r="413" spans="1:12" ht="15" customHeight="1" x14ac:dyDescent="0.2">
      <c r="A413">
        <v>0</v>
      </c>
      <c r="B413" t="s">
        <v>158</v>
      </c>
      <c r="C413" t="s">
        <v>12</v>
      </c>
      <c r="D413">
        <v>4013</v>
      </c>
      <c r="E413" t="s">
        <v>26</v>
      </c>
      <c r="F413">
        <v>0</v>
      </c>
      <c r="G413">
        <v>20200803</v>
      </c>
      <c r="H413" t="s">
        <v>161</v>
      </c>
      <c r="I413">
        <v>917</v>
      </c>
      <c r="J413" s="61" t="s">
        <v>166</v>
      </c>
      <c r="K413">
        <v>1</v>
      </c>
      <c r="L413">
        <v>253811</v>
      </c>
    </row>
    <row r="414" spans="1:12" ht="15" customHeight="1" x14ac:dyDescent="0.2">
      <c r="A414">
        <v>0</v>
      </c>
      <c r="B414" t="s">
        <v>158</v>
      </c>
      <c r="C414" t="s">
        <v>12</v>
      </c>
      <c r="D414">
        <v>4013</v>
      </c>
      <c r="E414" t="s">
        <v>26</v>
      </c>
      <c r="F414">
        <v>0</v>
      </c>
      <c r="G414">
        <v>20200804</v>
      </c>
      <c r="H414" t="s">
        <v>161</v>
      </c>
      <c r="I414">
        <v>917</v>
      </c>
      <c r="J414" s="61" t="s">
        <v>194</v>
      </c>
      <c r="K414">
        <v>1</v>
      </c>
      <c r="L414">
        <v>254786</v>
      </c>
    </row>
    <row r="415" spans="1:12" ht="15" customHeight="1" x14ac:dyDescent="0.2">
      <c r="A415">
        <v>0</v>
      </c>
      <c r="B415" t="s">
        <v>158</v>
      </c>
      <c r="C415" t="s">
        <v>12</v>
      </c>
      <c r="D415">
        <v>4013</v>
      </c>
      <c r="E415" t="s">
        <v>26</v>
      </c>
      <c r="F415">
        <v>0</v>
      </c>
      <c r="G415">
        <v>20200803</v>
      </c>
      <c r="H415" t="s">
        <v>161</v>
      </c>
      <c r="I415">
        <v>917</v>
      </c>
      <c r="J415" s="61" t="s">
        <v>175</v>
      </c>
      <c r="K415">
        <v>1</v>
      </c>
      <c r="L415">
        <v>255000</v>
      </c>
    </row>
    <row r="416" spans="1:12" ht="15" customHeight="1" x14ac:dyDescent="0.2">
      <c r="A416">
        <v>0</v>
      </c>
      <c r="B416" t="s">
        <v>158</v>
      </c>
      <c r="C416" t="s">
        <v>12</v>
      </c>
      <c r="D416">
        <v>4013</v>
      </c>
      <c r="E416" t="s">
        <v>26</v>
      </c>
      <c r="F416">
        <v>0</v>
      </c>
      <c r="G416">
        <v>20200801</v>
      </c>
      <c r="H416" t="s">
        <v>161</v>
      </c>
      <c r="I416">
        <v>917</v>
      </c>
      <c r="J416" s="61" t="s">
        <v>175</v>
      </c>
      <c r="K416">
        <v>1</v>
      </c>
      <c r="L416">
        <v>255033</v>
      </c>
    </row>
    <row r="417" spans="1:12" ht="15" customHeight="1" x14ac:dyDescent="0.2">
      <c r="A417">
        <v>0</v>
      </c>
      <c r="B417" t="s">
        <v>158</v>
      </c>
      <c r="C417" t="s">
        <v>12</v>
      </c>
      <c r="D417">
        <v>4013</v>
      </c>
      <c r="E417" t="s">
        <v>26</v>
      </c>
      <c r="F417">
        <v>0</v>
      </c>
      <c r="G417">
        <v>20200803</v>
      </c>
      <c r="H417" t="s">
        <v>161</v>
      </c>
      <c r="I417">
        <v>917</v>
      </c>
      <c r="J417" s="61" t="s">
        <v>175</v>
      </c>
      <c r="K417">
        <v>1</v>
      </c>
      <c r="L417">
        <v>255033</v>
      </c>
    </row>
    <row r="418" spans="1:12" ht="15" customHeight="1" x14ac:dyDescent="0.2">
      <c r="A418">
        <v>0</v>
      </c>
      <c r="B418" t="s">
        <v>158</v>
      </c>
      <c r="C418" t="s">
        <v>12</v>
      </c>
      <c r="D418">
        <v>4013</v>
      </c>
      <c r="E418" t="s">
        <v>26</v>
      </c>
      <c r="F418">
        <v>0</v>
      </c>
      <c r="G418">
        <v>20200803</v>
      </c>
      <c r="H418" t="s">
        <v>161</v>
      </c>
      <c r="I418">
        <v>917</v>
      </c>
      <c r="J418" s="61" t="s">
        <v>175</v>
      </c>
      <c r="K418">
        <v>1</v>
      </c>
      <c r="L418">
        <v>255701</v>
      </c>
    </row>
    <row r="419" spans="1:12" ht="15" customHeight="1" x14ac:dyDescent="0.2">
      <c r="A419">
        <v>0</v>
      </c>
      <c r="B419" t="s">
        <v>125</v>
      </c>
      <c r="C419" t="s">
        <v>12</v>
      </c>
      <c r="D419">
        <v>525</v>
      </c>
      <c r="E419" t="s">
        <v>228</v>
      </c>
      <c r="F419">
        <v>0</v>
      </c>
      <c r="G419">
        <v>20200804</v>
      </c>
      <c r="H419" t="s">
        <v>128</v>
      </c>
      <c r="I419">
        <v>39</v>
      </c>
      <c r="J419" s="61" t="s">
        <v>175</v>
      </c>
      <c r="K419">
        <v>1</v>
      </c>
      <c r="L419">
        <v>256078</v>
      </c>
    </row>
    <row r="420" spans="1:12" ht="15" customHeight="1" x14ac:dyDescent="0.2">
      <c r="A420">
        <v>0</v>
      </c>
      <c r="B420" t="s">
        <v>158</v>
      </c>
      <c r="C420" t="s">
        <v>12</v>
      </c>
      <c r="D420">
        <v>4013</v>
      </c>
      <c r="E420" t="s">
        <v>26</v>
      </c>
      <c r="F420">
        <v>0</v>
      </c>
      <c r="G420">
        <v>20200804</v>
      </c>
      <c r="H420" t="s">
        <v>161</v>
      </c>
      <c r="I420">
        <v>917</v>
      </c>
      <c r="J420" s="61" t="s">
        <v>166</v>
      </c>
      <c r="K420">
        <v>1</v>
      </c>
      <c r="L420">
        <v>258788</v>
      </c>
    </row>
    <row r="421" spans="1:12" ht="15" customHeight="1" x14ac:dyDescent="0.2">
      <c r="A421">
        <v>0</v>
      </c>
      <c r="B421" t="s">
        <v>125</v>
      </c>
      <c r="C421" t="s">
        <v>12</v>
      </c>
      <c r="D421">
        <v>6842</v>
      </c>
      <c r="E421" t="s">
        <v>157</v>
      </c>
      <c r="F421">
        <v>0</v>
      </c>
      <c r="G421">
        <v>20200803</v>
      </c>
      <c r="H421" t="s">
        <v>128</v>
      </c>
      <c r="I421">
        <v>39</v>
      </c>
      <c r="J421">
        <v>39756353</v>
      </c>
      <c r="K421">
        <v>1</v>
      </c>
      <c r="L421">
        <v>260300</v>
      </c>
    </row>
    <row r="422" spans="1:12" ht="15" customHeight="1" x14ac:dyDescent="0.2">
      <c r="A422">
        <v>0</v>
      </c>
      <c r="B422" t="s">
        <v>158</v>
      </c>
      <c r="C422" t="s">
        <v>12</v>
      </c>
      <c r="D422">
        <v>4013</v>
      </c>
      <c r="E422" t="s">
        <v>26</v>
      </c>
      <c r="F422">
        <v>0</v>
      </c>
      <c r="G422">
        <v>20200804</v>
      </c>
      <c r="H422" t="s">
        <v>161</v>
      </c>
      <c r="I422">
        <v>917</v>
      </c>
      <c r="J422" s="61" t="s">
        <v>166</v>
      </c>
      <c r="K422">
        <v>1</v>
      </c>
      <c r="L422">
        <v>265024</v>
      </c>
    </row>
    <row r="423" spans="1:12" ht="15" customHeight="1" x14ac:dyDescent="0.2">
      <c r="A423">
        <v>0</v>
      </c>
      <c r="B423" t="s">
        <v>158</v>
      </c>
      <c r="C423" t="s">
        <v>12</v>
      </c>
      <c r="D423">
        <v>4013</v>
      </c>
      <c r="E423" t="s">
        <v>26</v>
      </c>
      <c r="F423">
        <v>0</v>
      </c>
      <c r="G423">
        <v>20200801</v>
      </c>
      <c r="H423" t="s">
        <v>161</v>
      </c>
      <c r="I423">
        <v>917</v>
      </c>
      <c r="J423" s="61" t="s">
        <v>171</v>
      </c>
      <c r="K423">
        <v>1</v>
      </c>
      <c r="L423">
        <v>266224</v>
      </c>
    </row>
    <row r="424" spans="1:12" ht="15" customHeight="1" x14ac:dyDescent="0.2">
      <c r="A424">
        <v>0</v>
      </c>
      <c r="B424" t="s">
        <v>158</v>
      </c>
      <c r="C424" t="s">
        <v>12</v>
      </c>
      <c r="D424">
        <v>4013</v>
      </c>
      <c r="E424" t="s">
        <v>26</v>
      </c>
      <c r="F424">
        <v>0</v>
      </c>
      <c r="G424">
        <v>20200803</v>
      </c>
      <c r="H424" t="s">
        <v>161</v>
      </c>
      <c r="I424">
        <v>917</v>
      </c>
      <c r="J424" s="61" t="s">
        <v>194</v>
      </c>
      <c r="K424">
        <v>1</v>
      </c>
      <c r="L424">
        <v>269811</v>
      </c>
    </row>
    <row r="425" spans="1:12" ht="15" customHeight="1" x14ac:dyDescent="0.2">
      <c r="A425">
        <v>0</v>
      </c>
      <c r="B425" t="s">
        <v>158</v>
      </c>
      <c r="C425" t="s">
        <v>12</v>
      </c>
      <c r="D425">
        <v>4013</v>
      </c>
      <c r="E425" t="s">
        <v>26</v>
      </c>
      <c r="F425">
        <v>0</v>
      </c>
      <c r="G425">
        <v>20200803</v>
      </c>
      <c r="H425" t="s">
        <v>161</v>
      </c>
      <c r="I425">
        <v>917</v>
      </c>
      <c r="J425" s="61" t="s">
        <v>194</v>
      </c>
      <c r="K425">
        <v>1</v>
      </c>
      <c r="L425">
        <v>273107</v>
      </c>
    </row>
    <row r="426" spans="1:12" ht="15" customHeight="1" x14ac:dyDescent="0.2">
      <c r="A426">
        <v>0</v>
      </c>
      <c r="B426" t="s">
        <v>229</v>
      </c>
      <c r="C426" t="s">
        <v>12</v>
      </c>
      <c r="D426">
        <v>4017</v>
      </c>
      <c r="E426" t="s">
        <v>29</v>
      </c>
      <c r="F426">
        <v>0</v>
      </c>
      <c r="G426">
        <v>20200803</v>
      </c>
      <c r="H426" t="s">
        <v>229</v>
      </c>
      <c r="I426">
        <v>162</v>
      </c>
      <c r="J426" s="61" t="s">
        <v>166</v>
      </c>
      <c r="K426">
        <v>1</v>
      </c>
      <c r="L426">
        <v>274000</v>
      </c>
    </row>
    <row r="427" spans="1:12" ht="15" customHeight="1" x14ac:dyDescent="0.2">
      <c r="A427">
        <v>0</v>
      </c>
      <c r="B427" t="s">
        <v>158</v>
      </c>
      <c r="C427" t="s">
        <v>12</v>
      </c>
      <c r="D427">
        <v>4013</v>
      </c>
      <c r="E427" t="s">
        <v>26</v>
      </c>
      <c r="F427">
        <v>0</v>
      </c>
      <c r="G427">
        <v>20200804</v>
      </c>
      <c r="H427" t="s">
        <v>161</v>
      </c>
      <c r="I427">
        <v>917</v>
      </c>
      <c r="J427" s="61" t="s">
        <v>175</v>
      </c>
      <c r="K427">
        <v>1</v>
      </c>
      <c r="L427">
        <v>274433</v>
      </c>
    </row>
    <row r="428" spans="1:12" ht="15" customHeight="1" x14ac:dyDescent="0.2">
      <c r="A428">
        <v>0</v>
      </c>
      <c r="B428" t="s">
        <v>158</v>
      </c>
      <c r="C428" t="s">
        <v>12</v>
      </c>
      <c r="D428">
        <v>4013</v>
      </c>
      <c r="E428" t="s">
        <v>26</v>
      </c>
      <c r="F428">
        <v>0</v>
      </c>
      <c r="G428">
        <v>20200804</v>
      </c>
      <c r="H428" t="s">
        <v>161</v>
      </c>
      <c r="I428">
        <v>917</v>
      </c>
      <c r="J428" s="61" t="s">
        <v>172</v>
      </c>
      <c r="K428">
        <v>1</v>
      </c>
      <c r="L428">
        <v>275000</v>
      </c>
    </row>
    <row r="429" spans="1:12" ht="15" customHeight="1" x14ac:dyDescent="0.2">
      <c r="A429">
        <v>0</v>
      </c>
      <c r="B429" t="s">
        <v>158</v>
      </c>
      <c r="C429" t="s">
        <v>12</v>
      </c>
      <c r="D429">
        <v>4013</v>
      </c>
      <c r="E429" t="s">
        <v>26</v>
      </c>
      <c r="F429">
        <v>0</v>
      </c>
      <c r="G429">
        <v>20200804</v>
      </c>
      <c r="H429" t="s">
        <v>161</v>
      </c>
      <c r="I429">
        <v>917</v>
      </c>
      <c r="J429" s="61" t="s">
        <v>175</v>
      </c>
      <c r="K429">
        <v>1</v>
      </c>
      <c r="L429">
        <v>275265</v>
      </c>
    </row>
    <row r="430" spans="1:12" ht="15" customHeight="1" x14ac:dyDescent="0.2">
      <c r="A430">
        <v>0</v>
      </c>
      <c r="B430" t="s">
        <v>158</v>
      </c>
      <c r="C430" t="s">
        <v>12</v>
      </c>
      <c r="D430">
        <v>4013</v>
      </c>
      <c r="E430" t="s">
        <v>26</v>
      </c>
      <c r="F430">
        <v>0</v>
      </c>
      <c r="G430">
        <v>20200803</v>
      </c>
      <c r="H430" t="s">
        <v>161</v>
      </c>
      <c r="I430">
        <v>917</v>
      </c>
      <c r="J430" s="61" t="s">
        <v>175</v>
      </c>
      <c r="K430">
        <v>1</v>
      </c>
      <c r="L430">
        <v>279390</v>
      </c>
    </row>
    <row r="431" spans="1:12" ht="15" customHeight="1" x14ac:dyDescent="0.2">
      <c r="A431">
        <v>0</v>
      </c>
      <c r="B431" t="s">
        <v>158</v>
      </c>
      <c r="C431" t="s">
        <v>12</v>
      </c>
      <c r="D431">
        <v>4013</v>
      </c>
      <c r="E431" t="s">
        <v>26</v>
      </c>
      <c r="F431">
        <v>0</v>
      </c>
      <c r="G431">
        <v>20200804</v>
      </c>
      <c r="H431" t="s">
        <v>161</v>
      </c>
      <c r="I431">
        <v>917</v>
      </c>
      <c r="J431" s="61" t="s">
        <v>164</v>
      </c>
      <c r="K431">
        <v>1</v>
      </c>
      <c r="L431">
        <v>282259</v>
      </c>
    </row>
    <row r="432" spans="1:12" ht="15" customHeight="1" x14ac:dyDescent="0.2">
      <c r="A432">
        <v>0</v>
      </c>
      <c r="B432" t="s">
        <v>158</v>
      </c>
      <c r="C432" t="s">
        <v>12</v>
      </c>
      <c r="D432">
        <v>4013</v>
      </c>
      <c r="E432" t="s">
        <v>26</v>
      </c>
      <c r="F432">
        <v>0</v>
      </c>
      <c r="G432">
        <v>20200804</v>
      </c>
      <c r="H432" t="s">
        <v>161</v>
      </c>
      <c r="I432">
        <v>917</v>
      </c>
      <c r="J432" s="61" t="s">
        <v>175</v>
      </c>
      <c r="K432">
        <v>1</v>
      </c>
      <c r="L432">
        <v>288743</v>
      </c>
    </row>
    <row r="433" spans="1:12" ht="15" customHeight="1" x14ac:dyDescent="0.2">
      <c r="A433">
        <v>0</v>
      </c>
      <c r="B433" t="s">
        <v>158</v>
      </c>
      <c r="C433" t="s">
        <v>12</v>
      </c>
      <c r="D433">
        <v>4013</v>
      </c>
      <c r="E433" t="s">
        <v>26</v>
      </c>
      <c r="F433">
        <v>0</v>
      </c>
      <c r="G433">
        <v>20200803</v>
      </c>
      <c r="H433" t="s">
        <v>161</v>
      </c>
      <c r="I433">
        <v>917</v>
      </c>
      <c r="J433" s="61" t="s">
        <v>230</v>
      </c>
      <c r="K433">
        <v>1</v>
      </c>
      <c r="L433">
        <v>292000</v>
      </c>
    </row>
    <row r="434" spans="1:12" ht="15" customHeight="1" x14ac:dyDescent="0.2">
      <c r="A434">
        <v>0</v>
      </c>
      <c r="B434" t="s">
        <v>158</v>
      </c>
      <c r="C434" t="s">
        <v>12</v>
      </c>
      <c r="D434">
        <v>4013</v>
      </c>
      <c r="E434" t="s">
        <v>26</v>
      </c>
      <c r="F434">
        <v>0</v>
      </c>
      <c r="G434">
        <v>20200804</v>
      </c>
      <c r="H434" t="s">
        <v>161</v>
      </c>
      <c r="I434">
        <v>917</v>
      </c>
      <c r="J434" s="61" t="s">
        <v>172</v>
      </c>
      <c r="K434">
        <v>1</v>
      </c>
      <c r="L434">
        <v>293170</v>
      </c>
    </row>
    <row r="435" spans="1:12" ht="15" customHeight="1" x14ac:dyDescent="0.2">
      <c r="A435">
        <v>0</v>
      </c>
      <c r="B435" t="s">
        <v>158</v>
      </c>
      <c r="C435" t="s">
        <v>12</v>
      </c>
      <c r="D435">
        <v>4013</v>
      </c>
      <c r="E435" t="s">
        <v>26</v>
      </c>
      <c r="F435">
        <v>0</v>
      </c>
      <c r="G435">
        <v>20200804</v>
      </c>
      <c r="H435" t="s">
        <v>161</v>
      </c>
      <c r="I435">
        <v>917</v>
      </c>
      <c r="J435" s="61" t="s">
        <v>166</v>
      </c>
      <c r="K435">
        <v>1</v>
      </c>
      <c r="L435">
        <v>295461</v>
      </c>
    </row>
    <row r="436" spans="1:12" ht="15" customHeight="1" x14ac:dyDescent="0.2">
      <c r="A436">
        <v>0</v>
      </c>
      <c r="B436" t="s">
        <v>158</v>
      </c>
      <c r="C436" t="s">
        <v>12</v>
      </c>
      <c r="D436">
        <v>4013</v>
      </c>
      <c r="E436" t="s">
        <v>26</v>
      </c>
      <c r="F436">
        <v>0</v>
      </c>
      <c r="G436">
        <v>20200804</v>
      </c>
      <c r="H436" t="s">
        <v>161</v>
      </c>
      <c r="I436">
        <v>917</v>
      </c>
      <c r="J436" s="61" t="s">
        <v>185</v>
      </c>
      <c r="K436">
        <v>1</v>
      </c>
      <c r="L436">
        <v>297000</v>
      </c>
    </row>
    <row r="437" spans="1:12" ht="15" customHeight="1" x14ac:dyDescent="0.2">
      <c r="A437">
        <v>0</v>
      </c>
      <c r="B437" t="s">
        <v>158</v>
      </c>
      <c r="C437" t="s">
        <v>12</v>
      </c>
      <c r="D437">
        <v>4013</v>
      </c>
      <c r="E437" t="s">
        <v>26</v>
      </c>
      <c r="F437">
        <v>0</v>
      </c>
      <c r="G437">
        <v>20200804</v>
      </c>
      <c r="H437" t="s">
        <v>161</v>
      </c>
      <c r="I437">
        <v>917</v>
      </c>
      <c r="J437" s="61" t="s">
        <v>175</v>
      </c>
      <c r="K437">
        <v>1</v>
      </c>
      <c r="L437">
        <v>297276</v>
      </c>
    </row>
    <row r="438" spans="1:12" ht="15" customHeight="1" x14ac:dyDescent="0.2">
      <c r="A438">
        <v>0</v>
      </c>
      <c r="B438" t="s">
        <v>158</v>
      </c>
      <c r="C438" t="s">
        <v>12</v>
      </c>
      <c r="D438">
        <v>4013</v>
      </c>
      <c r="E438" t="s">
        <v>26</v>
      </c>
      <c r="F438">
        <v>0</v>
      </c>
      <c r="G438">
        <v>20200803</v>
      </c>
      <c r="H438" t="s">
        <v>161</v>
      </c>
      <c r="I438">
        <v>917</v>
      </c>
      <c r="J438" s="61" t="s">
        <v>175</v>
      </c>
      <c r="K438">
        <v>1</v>
      </c>
      <c r="L438">
        <v>299019</v>
      </c>
    </row>
    <row r="439" spans="1:12" ht="15" customHeight="1" x14ac:dyDescent="0.2">
      <c r="A439">
        <v>0</v>
      </c>
      <c r="B439" t="s">
        <v>158</v>
      </c>
      <c r="C439" t="s">
        <v>12</v>
      </c>
      <c r="D439">
        <v>4013</v>
      </c>
      <c r="E439" t="s">
        <v>26</v>
      </c>
      <c r="F439">
        <v>0</v>
      </c>
      <c r="G439">
        <v>20200803</v>
      </c>
      <c r="H439" t="s">
        <v>161</v>
      </c>
      <c r="I439">
        <v>917</v>
      </c>
      <c r="J439" s="61" t="s">
        <v>196</v>
      </c>
      <c r="K439">
        <v>1</v>
      </c>
      <c r="L439">
        <v>300000</v>
      </c>
    </row>
    <row r="440" spans="1:12" ht="15" customHeight="1" x14ac:dyDescent="0.2">
      <c r="A440">
        <v>0</v>
      </c>
      <c r="B440" t="s">
        <v>125</v>
      </c>
      <c r="C440" t="s">
        <v>12</v>
      </c>
      <c r="D440">
        <v>6842</v>
      </c>
      <c r="E440" t="s">
        <v>157</v>
      </c>
      <c r="F440">
        <v>0</v>
      </c>
      <c r="G440">
        <v>20200804</v>
      </c>
      <c r="H440" t="s">
        <v>128</v>
      </c>
      <c r="I440">
        <v>39</v>
      </c>
      <c r="J440">
        <v>52148113</v>
      </c>
      <c r="K440">
        <v>1</v>
      </c>
      <c r="L440">
        <v>300000</v>
      </c>
    </row>
    <row r="441" spans="1:12" ht="15" customHeight="1" x14ac:dyDescent="0.2">
      <c r="A441">
        <v>0</v>
      </c>
      <c r="B441" t="s">
        <v>125</v>
      </c>
      <c r="C441" t="s">
        <v>12</v>
      </c>
      <c r="D441">
        <v>6842</v>
      </c>
      <c r="E441" t="s">
        <v>157</v>
      </c>
      <c r="F441">
        <v>0</v>
      </c>
      <c r="G441">
        <v>20200804</v>
      </c>
      <c r="H441" t="s">
        <v>128</v>
      </c>
      <c r="I441">
        <v>39</v>
      </c>
      <c r="J441">
        <v>34042648</v>
      </c>
      <c r="K441">
        <v>1</v>
      </c>
      <c r="L441">
        <v>300000</v>
      </c>
    </row>
    <row r="442" spans="1:12" ht="15" customHeight="1" x14ac:dyDescent="0.2">
      <c r="A442">
        <v>0</v>
      </c>
      <c r="B442" t="s">
        <v>158</v>
      </c>
      <c r="C442" t="s">
        <v>12</v>
      </c>
      <c r="D442">
        <v>4013</v>
      </c>
      <c r="E442" t="s">
        <v>26</v>
      </c>
      <c r="F442">
        <v>0</v>
      </c>
      <c r="G442">
        <v>20200804</v>
      </c>
      <c r="H442" t="s">
        <v>161</v>
      </c>
      <c r="I442">
        <v>917</v>
      </c>
      <c r="J442" s="61" t="s">
        <v>194</v>
      </c>
      <c r="K442">
        <v>1</v>
      </c>
      <c r="L442">
        <v>300233</v>
      </c>
    </row>
    <row r="443" spans="1:12" ht="15" customHeight="1" x14ac:dyDescent="0.2">
      <c r="A443">
        <v>0</v>
      </c>
      <c r="B443" t="s">
        <v>158</v>
      </c>
      <c r="C443" t="s">
        <v>12</v>
      </c>
      <c r="D443">
        <v>4013</v>
      </c>
      <c r="E443" t="s">
        <v>26</v>
      </c>
      <c r="F443">
        <v>0</v>
      </c>
      <c r="G443">
        <v>20200803</v>
      </c>
      <c r="H443" t="s">
        <v>161</v>
      </c>
      <c r="I443">
        <v>917</v>
      </c>
      <c r="J443" s="61" t="s">
        <v>172</v>
      </c>
      <c r="K443">
        <v>1</v>
      </c>
      <c r="L443">
        <v>304000</v>
      </c>
    </row>
    <row r="444" spans="1:12" ht="15" customHeight="1" x14ac:dyDescent="0.2">
      <c r="A444">
        <v>0</v>
      </c>
      <c r="B444" t="s">
        <v>158</v>
      </c>
      <c r="C444" t="s">
        <v>12</v>
      </c>
      <c r="D444">
        <v>4013</v>
      </c>
      <c r="E444" t="s">
        <v>26</v>
      </c>
      <c r="F444">
        <v>0</v>
      </c>
      <c r="G444">
        <v>20200803</v>
      </c>
      <c r="H444" t="s">
        <v>161</v>
      </c>
      <c r="I444">
        <v>917</v>
      </c>
      <c r="J444" s="61" t="s">
        <v>166</v>
      </c>
      <c r="K444">
        <v>1</v>
      </c>
      <c r="L444">
        <v>307903</v>
      </c>
    </row>
    <row r="445" spans="1:12" ht="15" customHeight="1" x14ac:dyDescent="0.2">
      <c r="A445">
        <v>0</v>
      </c>
      <c r="B445" t="s">
        <v>158</v>
      </c>
      <c r="C445" t="s">
        <v>12</v>
      </c>
      <c r="D445">
        <v>4013</v>
      </c>
      <c r="E445" t="s">
        <v>26</v>
      </c>
      <c r="F445">
        <v>0</v>
      </c>
      <c r="G445">
        <v>20200803</v>
      </c>
      <c r="H445" t="s">
        <v>161</v>
      </c>
      <c r="I445">
        <v>917</v>
      </c>
      <c r="J445" s="61" t="s">
        <v>172</v>
      </c>
      <c r="K445">
        <v>1</v>
      </c>
      <c r="L445">
        <v>308352</v>
      </c>
    </row>
    <row r="446" spans="1:12" ht="15" customHeight="1" x14ac:dyDescent="0.2">
      <c r="A446">
        <v>0</v>
      </c>
      <c r="B446" t="s">
        <v>158</v>
      </c>
      <c r="C446" t="s">
        <v>12</v>
      </c>
      <c r="D446">
        <v>4013</v>
      </c>
      <c r="E446" t="s">
        <v>26</v>
      </c>
      <c r="F446">
        <v>0</v>
      </c>
      <c r="G446">
        <v>20200804</v>
      </c>
      <c r="H446" t="s">
        <v>161</v>
      </c>
      <c r="I446">
        <v>917</v>
      </c>
      <c r="J446" s="61" t="s">
        <v>166</v>
      </c>
      <c r="K446">
        <v>1</v>
      </c>
      <c r="L446">
        <v>309912</v>
      </c>
    </row>
    <row r="447" spans="1:12" ht="15" customHeight="1" x14ac:dyDescent="0.2">
      <c r="A447">
        <v>0</v>
      </c>
      <c r="B447" t="s">
        <v>125</v>
      </c>
      <c r="C447" t="s">
        <v>12</v>
      </c>
      <c r="D447">
        <v>6842</v>
      </c>
      <c r="E447" t="s">
        <v>157</v>
      </c>
      <c r="F447">
        <v>0</v>
      </c>
      <c r="G447">
        <v>20200802</v>
      </c>
      <c r="H447" t="s">
        <v>128</v>
      </c>
      <c r="I447">
        <v>39</v>
      </c>
      <c r="J447">
        <v>52449897</v>
      </c>
      <c r="K447">
        <v>1</v>
      </c>
      <c r="L447">
        <v>312000</v>
      </c>
    </row>
    <row r="448" spans="1:12" ht="15" customHeight="1" x14ac:dyDescent="0.2">
      <c r="A448">
        <v>0</v>
      </c>
      <c r="B448" t="s">
        <v>173</v>
      </c>
      <c r="C448" t="s">
        <v>12</v>
      </c>
      <c r="D448">
        <v>4017</v>
      </c>
      <c r="E448" t="s">
        <v>29</v>
      </c>
      <c r="F448">
        <v>0</v>
      </c>
      <c r="G448">
        <v>20200803</v>
      </c>
      <c r="H448" t="s">
        <v>209</v>
      </c>
      <c r="I448">
        <v>969</v>
      </c>
      <c r="J448" s="61" t="s">
        <v>202</v>
      </c>
      <c r="K448">
        <v>1</v>
      </c>
      <c r="L448">
        <v>312116</v>
      </c>
    </row>
    <row r="449" spans="1:12" ht="15" customHeight="1" x14ac:dyDescent="0.2">
      <c r="A449">
        <v>0</v>
      </c>
      <c r="B449" t="s">
        <v>158</v>
      </c>
      <c r="C449" t="s">
        <v>12</v>
      </c>
      <c r="D449">
        <v>4013</v>
      </c>
      <c r="E449" t="s">
        <v>26</v>
      </c>
      <c r="F449">
        <v>0</v>
      </c>
      <c r="G449">
        <v>20200804</v>
      </c>
      <c r="H449" t="s">
        <v>161</v>
      </c>
      <c r="I449">
        <v>917</v>
      </c>
      <c r="J449" s="61" t="s">
        <v>175</v>
      </c>
      <c r="K449">
        <v>1</v>
      </c>
      <c r="L449">
        <v>312530</v>
      </c>
    </row>
    <row r="450" spans="1:12" ht="15" customHeight="1" x14ac:dyDescent="0.2">
      <c r="A450">
        <v>0</v>
      </c>
      <c r="B450" t="s">
        <v>158</v>
      </c>
      <c r="C450" t="s">
        <v>12</v>
      </c>
      <c r="D450">
        <v>4013</v>
      </c>
      <c r="E450" t="s">
        <v>26</v>
      </c>
      <c r="F450">
        <v>0</v>
      </c>
      <c r="G450">
        <v>20200804</v>
      </c>
      <c r="H450" t="s">
        <v>161</v>
      </c>
      <c r="I450">
        <v>917</v>
      </c>
      <c r="J450" s="61" t="s">
        <v>175</v>
      </c>
      <c r="K450">
        <v>1</v>
      </c>
      <c r="L450">
        <v>313570</v>
      </c>
    </row>
    <row r="451" spans="1:12" ht="15" customHeight="1" x14ac:dyDescent="0.2">
      <c r="A451">
        <v>0</v>
      </c>
      <c r="B451" t="s">
        <v>158</v>
      </c>
      <c r="C451" t="s">
        <v>12</v>
      </c>
      <c r="D451">
        <v>4013</v>
      </c>
      <c r="E451" t="s">
        <v>26</v>
      </c>
      <c r="F451">
        <v>0</v>
      </c>
      <c r="G451">
        <v>20200804</v>
      </c>
      <c r="H451" t="s">
        <v>161</v>
      </c>
      <c r="I451">
        <v>917</v>
      </c>
      <c r="J451" s="61" t="s">
        <v>166</v>
      </c>
      <c r="K451">
        <v>1</v>
      </c>
      <c r="L451">
        <v>313727</v>
      </c>
    </row>
    <row r="452" spans="1:12" ht="15" customHeight="1" x14ac:dyDescent="0.2">
      <c r="A452">
        <v>0</v>
      </c>
      <c r="B452" t="s">
        <v>125</v>
      </c>
      <c r="C452" t="s">
        <v>12</v>
      </c>
      <c r="D452">
        <v>6842</v>
      </c>
      <c r="E452" t="s">
        <v>157</v>
      </c>
      <c r="F452">
        <v>0</v>
      </c>
      <c r="G452">
        <v>20200801</v>
      </c>
      <c r="H452" t="s">
        <v>128</v>
      </c>
      <c r="I452">
        <v>39</v>
      </c>
      <c r="J452">
        <v>80844676</v>
      </c>
      <c r="K452">
        <v>1</v>
      </c>
      <c r="L452">
        <v>315000</v>
      </c>
    </row>
    <row r="453" spans="1:12" ht="15" customHeight="1" x14ac:dyDescent="0.2">
      <c r="A453">
        <v>0</v>
      </c>
      <c r="B453" t="s">
        <v>158</v>
      </c>
      <c r="C453" t="s">
        <v>12</v>
      </c>
      <c r="D453">
        <v>4013</v>
      </c>
      <c r="E453" t="s">
        <v>26</v>
      </c>
      <c r="F453">
        <v>0</v>
      </c>
      <c r="G453">
        <v>20200804</v>
      </c>
      <c r="H453" t="s">
        <v>161</v>
      </c>
      <c r="I453">
        <v>917</v>
      </c>
      <c r="J453" s="61" t="s">
        <v>175</v>
      </c>
      <c r="K453">
        <v>1</v>
      </c>
      <c r="L453">
        <v>316451</v>
      </c>
    </row>
    <row r="454" spans="1:12" ht="15" customHeight="1" x14ac:dyDescent="0.2">
      <c r="A454">
        <v>0</v>
      </c>
      <c r="B454" t="s">
        <v>158</v>
      </c>
      <c r="C454" t="s">
        <v>12</v>
      </c>
      <c r="D454">
        <v>4013</v>
      </c>
      <c r="E454" t="s">
        <v>26</v>
      </c>
      <c r="F454">
        <v>0</v>
      </c>
      <c r="G454">
        <v>20200803</v>
      </c>
      <c r="H454" t="s">
        <v>161</v>
      </c>
      <c r="I454">
        <v>917</v>
      </c>
      <c r="J454" s="61" t="s">
        <v>194</v>
      </c>
      <c r="K454">
        <v>1</v>
      </c>
      <c r="L454">
        <v>317420</v>
      </c>
    </row>
    <row r="455" spans="1:12" ht="15" customHeight="1" x14ac:dyDescent="0.2">
      <c r="A455">
        <v>0</v>
      </c>
      <c r="B455" t="s">
        <v>158</v>
      </c>
      <c r="C455" t="s">
        <v>12</v>
      </c>
      <c r="D455">
        <v>4013</v>
      </c>
      <c r="E455" t="s">
        <v>26</v>
      </c>
      <c r="F455">
        <v>0</v>
      </c>
      <c r="G455">
        <v>20200803</v>
      </c>
      <c r="H455" t="s">
        <v>161</v>
      </c>
      <c r="I455">
        <v>917</v>
      </c>
      <c r="J455" s="61" t="s">
        <v>175</v>
      </c>
      <c r="K455">
        <v>1</v>
      </c>
      <c r="L455">
        <v>317831</v>
      </c>
    </row>
    <row r="456" spans="1:12" ht="15" customHeight="1" x14ac:dyDescent="0.2">
      <c r="A456">
        <v>0</v>
      </c>
      <c r="B456" t="s">
        <v>158</v>
      </c>
      <c r="C456" t="s">
        <v>12</v>
      </c>
      <c r="D456">
        <v>4013</v>
      </c>
      <c r="E456" t="s">
        <v>26</v>
      </c>
      <c r="F456">
        <v>0</v>
      </c>
      <c r="G456">
        <v>20200804</v>
      </c>
      <c r="H456" t="s">
        <v>161</v>
      </c>
      <c r="I456">
        <v>917</v>
      </c>
      <c r="J456" s="61" t="s">
        <v>166</v>
      </c>
      <c r="K456">
        <v>1</v>
      </c>
      <c r="L456">
        <v>318582</v>
      </c>
    </row>
    <row r="457" spans="1:12" ht="15" customHeight="1" x14ac:dyDescent="0.2">
      <c r="A457">
        <v>0</v>
      </c>
      <c r="B457" t="s">
        <v>158</v>
      </c>
      <c r="C457" t="s">
        <v>12</v>
      </c>
      <c r="D457">
        <v>4013</v>
      </c>
      <c r="E457" t="s">
        <v>26</v>
      </c>
      <c r="F457">
        <v>0</v>
      </c>
      <c r="G457">
        <v>20200803</v>
      </c>
      <c r="H457" t="s">
        <v>161</v>
      </c>
      <c r="I457">
        <v>917</v>
      </c>
      <c r="J457" s="61" t="s">
        <v>175</v>
      </c>
      <c r="K457">
        <v>1</v>
      </c>
      <c r="L457">
        <v>319208</v>
      </c>
    </row>
    <row r="458" spans="1:12" ht="15" customHeight="1" x14ac:dyDescent="0.2">
      <c r="A458">
        <v>0</v>
      </c>
      <c r="B458" t="s">
        <v>158</v>
      </c>
      <c r="C458" t="s">
        <v>12</v>
      </c>
      <c r="D458">
        <v>4013</v>
      </c>
      <c r="E458" t="s">
        <v>26</v>
      </c>
      <c r="F458">
        <v>0</v>
      </c>
      <c r="G458">
        <v>20200804</v>
      </c>
      <c r="H458" t="s">
        <v>161</v>
      </c>
      <c r="I458">
        <v>917</v>
      </c>
      <c r="J458" s="61" t="s">
        <v>172</v>
      </c>
      <c r="K458">
        <v>1</v>
      </c>
      <c r="L458">
        <v>324816</v>
      </c>
    </row>
    <row r="459" spans="1:12" ht="15" customHeight="1" x14ac:dyDescent="0.2">
      <c r="A459">
        <v>0</v>
      </c>
      <c r="B459" t="s">
        <v>158</v>
      </c>
      <c r="C459" t="s">
        <v>12</v>
      </c>
      <c r="D459">
        <v>4013</v>
      </c>
      <c r="E459" t="s">
        <v>26</v>
      </c>
      <c r="F459">
        <v>0</v>
      </c>
      <c r="G459">
        <v>20200804</v>
      </c>
      <c r="H459" t="s">
        <v>161</v>
      </c>
      <c r="I459">
        <v>917</v>
      </c>
      <c r="J459" s="61" t="s">
        <v>194</v>
      </c>
      <c r="K459">
        <v>1</v>
      </c>
      <c r="L459">
        <v>325139</v>
      </c>
    </row>
    <row r="460" spans="1:12" ht="15" customHeight="1" x14ac:dyDescent="0.2">
      <c r="A460">
        <v>0</v>
      </c>
      <c r="B460" t="s">
        <v>158</v>
      </c>
      <c r="C460" t="s">
        <v>12</v>
      </c>
      <c r="D460">
        <v>4013</v>
      </c>
      <c r="E460" t="s">
        <v>26</v>
      </c>
      <c r="F460">
        <v>0</v>
      </c>
      <c r="G460">
        <v>20200804</v>
      </c>
      <c r="H460" t="s">
        <v>161</v>
      </c>
      <c r="I460">
        <v>917</v>
      </c>
      <c r="J460" s="61" t="s">
        <v>166</v>
      </c>
      <c r="K460">
        <v>1</v>
      </c>
      <c r="L460">
        <v>325339</v>
      </c>
    </row>
    <row r="461" spans="1:12" ht="15" customHeight="1" x14ac:dyDescent="0.2">
      <c r="A461">
        <v>0</v>
      </c>
      <c r="B461" t="s">
        <v>125</v>
      </c>
      <c r="C461" t="s">
        <v>12</v>
      </c>
      <c r="D461">
        <v>6842</v>
      </c>
      <c r="E461" t="s">
        <v>157</v>
      </c>
      <c r="F461">
        <v>0</v>
      </c>
      <c r="G461">
        <v>20200801</v>
      </c>
      <c r="H461" t="s">
        <v>128</v>
      </c>
      <c r="I461">
        <v>39</v>
      </c>
      <c r="J461">
        <v>93373308</v>
      </c>
      <c r="K461">
        <v>1</v>
      </c>
      <c r="L461">
        <v>328000</v>
      </c>
    </row>
    <row r="462" spans="1:12" ht="15" customHeight="1" x14ac:dyDescent="0.2">
      <c r="A462">
        <v>0</v>
      </c>
      <c r="B462" t="s">
        <v>125</v>
      </c>
      <c r="C462" t="s">
        <v>12</v>
      </c>
      <c r="D462">
        <v>4013</v>
      </c>
      <c r="E462" t="s">
        <v>26</v>
      </c>
      <c r="F462">
        <v>0</v>
      </c>
      <c r="G462">
        <v>20200804</v>
      </c>
      <c r="H462" t="s">
        <v>135</v>
      </c>
      <c r="I462">
        <v>743</v>
      </c>
      <c r="J462" s="61" t="s">
        <v>175</v>
      </c>
      <c r="K462">
        <v>1</v>
      </c>
      <c r="L462">
        <v>328510</v>
      </c>
    </row>
    <row r="463" spans="1:12" ht="15" customHeight="1" x14ac:dyDescent="0.2">
      <c r="A463">
        <v>0</v>
      </c>
      <c r="B463" t="s">
        <v>158</v>
      </c>
      <c r="C463" t="s">
        <v>12</v>
      </c>
      <c r="D463">
        <v>4013</v>
      </c>
      <c r="E463" t="s">
        <v>26</v>
      </c>
      <c r="F463">
        <v>0</v>
      </c>
      <c r="G463">
        <v>20200804</v>
      </c>
      <c r="H463" t="s">
        <v>161</v>
      </c>
      <c r="I463">
        <v>917</v>
      </c>
      <c r="J463" s="61" t="s">
        <v>166</v>
      </c>
      <c r="K463">
        <v>1</v>
      </c>
      <c r="L463">
        <v>329491</v>
      </c>
    </row>
    <row r="464" spans="1:12" ht="15" customHeight="1" x14ac:dyDescent="0.2">
      <c r="A464">
        <v>0</v>
      </c>
      <c r="B464" t="s">
        <v>158</v>
      </c>
      <c r="C464" t="s">
        <v>12</v>
      </c>
      <c r="D464">
        <v>4013</v>
      </c>
      <c r="E464" t="s">
        <v>26</v>
      </c>
      <c r="F464">
        <v>0</v>
      </c>
      <c r="G464">
        <v>20200804</v>
      </c>
      <c r="H464" t="s">
        <v>161</v>
      </c>
      <c r="I464">
        <v>917</v>
      </c>
      <c r="J464" s="61" t="s">
        <v>166</v>
      </c>
      <c r="K464">
        <v>1</v>
      </c>
      <c r="L464">
        <v>332306</v>
      </c>
    </row>
    <row r="465" spans="1:12" ht="15" customHeight="1" x14ac:dyDescent="0.2">
      <c r="A465">
        <v>0</v>
      </c>
      <c r="B465" t="s">
        <v>125</v>
      </c>
      <c r="C465" t="s">
        <v>12</v>
      </c>
      <c r="D465">
        <v>6842</v>
      </c>
      <c r="E465" t="s">
        <v>157</v>
      </c>
      <c r="F465">
        <v>0</v>
      </c>
      <c r="G465">
        <v>20200804</v>
      </c>
      <c r="H465" t="s">
        <v>128</v>
      </c>
      <c r="I465">
        <v>39</v>
      </c>
      <c r="J465">
        <v>1033801952</v>
      </c>
      <c r="K465">
        <v>1</v>
      </c>
      <c r="L465">
        <v>336350</v>
      </c>
    </row>
    <row r="466" spans="1:12" ht="15" customHeight="1" x14ac:dyDescent="0.2">
      <c r="A466">
        <v>0</v>
      </c>
      <c r="B466" t="s">
        <v>231</v>
      </c>
      <c r="C466" t="s">
        <v>12</v>
      </c>
      <c r="D466">
        <v>4017</v>
      </c>
      <c r="E466" t="s">
        <v>29</v>
      </c>
      <c r="F466">
        <v>0</v>
      </c>
      <c r="G466">
        <v>20200804</v>
      </c>
      <c r="H466" t="s">
        <v>231</v>
      </c>
      <c r="I466">
        <v>88</v>
      </c>
      <c r="J466" s="61" t="s">
        <v>232</v>
      </c>
      <c r="K466">
        <v>1</v>
      </c>
      <c r="L466">
        <v>349077</v>
      </c>
    </row>
    <row r="467" spans="1:12" ht="15" customHeight="1" x14ac:dyDescent="0.2">
      <c r="A467">
        <v>0</v>
      </c>
      <c r="B467" t="s">
        <v>158</v>
      </c>
      <c r="C467" t="s">
        <v>12</v>
      </c>
      <c r="D467">
        <v>4013</v>
      </c>
      <c r="E467" t="s">
        <v>26</v>
      </c>
      <c r="F467">
        <v>0</v>
      </c>
      <c r="G467">
        <v>20200803</v>
      </c>
      <c r="H467" t="s">
        <v>161</v>
      </c>
      <c r="I467">
        <v>917</v>
      </c>
      <c r="J467" s="61" t="s">
        <v>166</v>
      </c>
      <c r="K467">
        <v>1</v>
      </c>
      <c r="L467">
        <v>349861</v>
      </c>
    </row>
    <row r="468" spans="1:12" ht="15" customHeight="1" x14ac:dyDescent="0.2">
      <c r="A468">
        <v>0</v>
      </c>
      <c r="B468" t="s">
        <v>158</v>
      </c>
      <c r="C468" t="s">
        <v>12</v>
      </c>
      <c r="D468">
        <v>4013</v>
      </c>
      <c r="E468" t="s">
        <v>26</v>
      </c>
      <c r="F468">
        <v>0</v>
      </c>
      <c r="G468">
        <v>20200803</v>
      </c>
      <c r="H468" t="s">
        <v>161</v>
      </c>
      <c r="I468">
        <v>917</v>
      </c>
      <c r="J468" s="61" t="s">
        <v>175</v>
      </c>
      <c r="K468">
        <v>1</v>
      </c>
      <c r="L468">
        <v>350069</v>
      </c>
    </row>
    <row r="469" spans="1:12" ht="15" customHeight="1" x14ac:dyDescent="0.2">
      <c r="A469">
        <v>0</v>
      </c>
      <c r="B469" t="s">
        <v>158</v>
      </c>
      <c r="C469" t="s">
        <v>12</v>
      </c>
      <c r="D469">
        <v>4013</v>
      </c>
      <c r="E469" t="s">
        <v>26</v>
      </c>
      <c r="F469">
        <v>0</v>
      </c>
      <c r="G469">
        <v>20200803</v>
      </c>
      <c r="H469" t="s">
        <v>161</v>
      </c>
      <c r="I469">
        <v>917</v>
      </c>
      <c r="J469" s="61" t="s">
        <v>166</v>
      </c>
      <c r="K469">
        <v>1</v>
      </c>
      <c r="L469">
        <v>350733</v>
      </c>
    </row>
    <row r="470" spans="1:12" ht="15" customHeight="1" x14ac:dyDescent="0.2">
      <c r="A470">
        <v>0</v>
      </c>
      <c r="B470" t="s">
        <v>158</v>
      </c>
      <c r="C470" t="s">
        <v>12</v>
      </c>
      <c r="D470">
        <v>4013</v>
      </c>
      <c r="E470" t="s">
        <v>26</v>
      </c>
      <c r="F470">
        <v>0</v>
      </c>
      <c r="G470">
        <v>20200804</v>
      </c>
      <c r="H470" t="s">
        <v>161</v>
      </c>
      <c r="I470">
        <v>917</v>
      </c>
      <c r="J470" s="61" t="s">
        <v>194</v>
      </c>
      <c r="K470">
        <v>1</v>
      </c>
      <c r="L470">
        <v>351869</v>
      </c>
    </row>
    <row r="471" spans="1:12" ht="15" customHeight="1" x14ac:dyDescent="0.2">
      <c r="A471">
        <v>0</v>
      </c>
      <c r="B471" t="s">
        <v>158</v>
      </c>
      <c r="C471" t="s">
        <v>12</v>
      </c>
      <c r="D471">
        <v>4013</v>
      </c>
      <c r="E471" t="s">
        <v>26</v>
      </c>
      <c r="F471">
        <v>0</v>
      </c>
      <c r="G471">
        <v>20200803</v>
      </c>
      <c r="H471" t="s">
        <v>161</v>
      </c>
      <c r="I471">
        <v>917</v>
      </c>
      <c r="J471" s="61" t="s">
        <v>175</v>
      </c>
      <c r="K471">
        <v>1</v>
      </c>
      <c r="L471">
        <v>353401</v>
      </c>
    </row>
    <row r="472" spans="1:12" ht="15" customHeight="1" x14ac:dyDescent="0.2">
      <c r="A472">
        <v>0</v>
      </c>
      <c r="B472" t="s">
        <v>125</v>
      </c>
      <c r="C472" t="s">
        <v>12</v>
      </c>
      <c r="D472">
        <v>6842</v>
      </c>
      <c r="E472" t="s">
        <v>157</v>
      </c>
      <c r="F472">
        <v>0</v>
      </c>
      <c r="G472">
        <v>20200803</v>
      </c>
      <c r="H472" t="s">
        <v>128</v>
      </c>
      <c r="I472">
        <v>39</v>
      </c>
      <c r="J472">
        <v>59265131</v>
      </c>
      <c r="K472">
        <v>1</v>
      </c>
      <c r="L472">
        <v>364850</v>
      </c>
    </row>
    <row r="473" spans="1:12" ht="15" customHeight="1" x14ac:dyDescent="0.2">
      <c r="A473">
        <v>0</v>
      </c>
      <c r="B473" t="s">
        <v>158</v>
      </c>
      <c r="C473" t="s">
        <v>12</v>
      </c>
      <c r="D473">
        <v>4013</v>
      </c>
      <c r="E473" t="s">
        <v>26</v>
      </c>
      <c r="F473">
        <v>0</v>
      </c>
      <c r="G473">
        <v>20200803</v>
      </c>
      <c r="H473" t="s">
        <v>161</v>
      </c>
      <c r="I473">
        <v>917</v>
      </c>
      <c r="J473" s="61" t="s">
        <v>175</v>
      </c>
      <c r="K473">
        <v>1</v>
      </c>
      <c r="L473">
        <v>365537</v>
      </c>
    </row>
    <row r="474" spans="1:12" ht="15" customHeight="1" x14ac:dyDescent="0.2">
      <c r="A474">
        <v>0</v>
      </c>
      <c r="B474" t="s">
        <v>125</v>
      </c>
      <c r="C474" t="s">
        <v>12</v>
      </c>
      <c r="D474">
        <v>6842</v>
      </c>
      <c r="E474" t="s">
        <v>157</v>
      </c>
      <c r="F474">
        <v>0</v>
      </c>
      <c r="G474">
        <v>20200804</v>
      </c>
      <c r="H474" t="s">
        <v>128</v>
      </c>
      <c r="I474">
        <v>39</v>
      </c>
      <c r="J474">
        <v>35374796</v>
      </c>
      <c r="K474">
        <v>1</v>
      </c>
      <c r="L474">
        <v>366408</v>
      </c>
    </row>
    <row r="475" spans="1:12" ht="15" customHeight="1" x14ac:dyDescent="0.2">
      <c r="A475">
        <v>0</v>
      </c>
      <c r="B475" t="s">
        <v>125</v>
      </c>
      <c r="C475" t="s">
        <v>12</v>
      </c>
      <c r="D475">
        <v>6842</v>
      </c>
      <c r="E475" t="s">
        <v>157</v>
      </c>
      <c r="F475">
        <v>0</v>
      </c>
      <c r="G475">
        <v>20200803</v>
      </c>
      <c r="H475" t="s">
        <v>128</v>
      </c>
      <c r="I475">
        <v>39</v>
      </c>
      <c r="J475">
        <v>52072926</v>
      </c>
      <c r="K475">
        <v>1</v>
      </c>
      <c r="L475">
        <v>368223</v>
      </c>
    </row>
    <row r="476" spans="1:12" ht="15" customHeight="1" x14ac:dyDescent="0.2">
      <c r="A476">
        <v>0</v>
      </c>
      <c r="B476" t="s">
        <v>158</v>
      </c>
      <c r="C476" t="s">
        <v>12</v>
      </c>
      <c r="D476">
        <v>4013</v>
      </c>
      <c r="E476" t="s">
        <v>26</v>
      </c>
      <c r="F476">
        <v>0</v>
      </c>
      <c r="G476">
        <v>20200803</v>
      </c>
      <c r="H476" t="s">
        <v>161</v>
      </c>
      <c r="I476">
        <v>917</v>
      </c>
      <c r="J476" s="61" t="s">
        <v>175</v>
      </c>
      <c r="K476">
        <v>1</v>
      </c>
      <c r="L476">
        <v>369716</v>
      </c>
    </row>
    <row r="477" spans="1:12" ht="15" customHeight="1" x14ac:dyDescent="0.2">
      <c r="A477">
        <v>0</v>
      </c>
      <c r="B477" t="s">
        <v>158</v>
      </c>
      <c r="C477" t="s">
        <v>12</v>
      </c>
      <c r="D477">
        <v>4013</v>
      </c>
      <c r="E477" t="s">
        <v>26</v>
      </c>
      <c r="F477">
        <v>0</v>
      </c>
      <c r="G477">
        <v>20200804</v>
      </c>
      <c r="H477" t="s">
        <v>161</v>
      </c>
      <c r="I477">
        <v>917</v>
      </c>
      <c r="J477" s="61" t="s">
        <v>194</v>
      </c>
      <c r="K477">
        <v>1</v>
      </c>
      <c r="L477">
        <v>373163</v>
      </c>
    </row>
    <row r="478" spans="1:12" ht="15" customHeight="1" x14ac:dyDescent="0.2">
      <c r="A478">
        <v>0</v>
      </c>
      <c r="B478" t="s">
        <v>158</v>
      </c>
      <c r="C478" t="s">
        <v>12</v>
      </c>
      <c r="D478">
        <v>4013</v>
      </c>
      <c r="E478" t="s">
        <v>26</v>
      </c>
      <c r="F478">
        <v>0</v>
      </c>
      <c r="G478">
        <v>20200801</v>
      </c>
      <c r="H478" t="s">
        <v>161</v>
      </c>
      <c r="I478">
        <v>917</v>
      </c>
      <c r="J478" s="61" t="s">
        <v>175</v>
      </c>
      <c r="K478">
        <v>1</v>
      </c>
      <c r="L478">
        <v>374438</v>
      </c>
    </row>
    <row r="479" spans="1:12" ht="15" customHeight="1" x14ac:dyDescent="0.2">
      <c r="A479">
        <v>0</v>
      </c>
      <c r="B479" t="s">
        <v>125</v>
      </c>
      <c r="C479" t="s">
        <v>12</v>
      </c>
      <c r="D479">
        <v>4013</v>
      </c>
      <c r="E479" t="s">
        <v>26</v>
      </c>
      <c r="F479">
        <v>0</v>
      </c>
      <c r="G479">
        <v>20200804</v>
      </c>
      <c r="H479" t="s">
        <v>127</v>
      </c>
      <c r="I479">
        <v>30</v>
      </c>
      <c r="J479" s="61" t="s">
        <v>172</v>
      </c>
      <c r="K479">
        <v>1</v>
      </c>
      <c r="L479">
        <v>374846</v>
      </c>
    </row>
    <row r="480" spans="1:12" ht="15" customHeight="1" x14ac:dyDescent="0.2">
      <c r="A480">
        <v>0</v>
      </c>
      <c r="B480" t="s">
        <v>158</v>
      </c>
      <c r="C480" t="s">
        <v>12</v>
      </c>
      <c r="D480">
        <v>4013</v>
      </c>
      <c r="E480" t="s">
        <v>26</v>
      </c>
      <c r="F480">
        <v>0</v>
      </c>
      <c r="G480">
        <v>20200804</v>
      </c>
      <c r="H480" t="s">
        <v>161</v>
      </c>
      <c r="I480">
        <v>917</v>
      </c>
      <c r="J480" s="61" t="s">
        <v>166</v>
      </c>
      <c r="K480">
        <v>1</v>
      </c>
      <c r="L480">
        <v>379465</v>
      </c>
    </row>
    <row r="481" spans="1:12" ht="15" customHeight="1" x14ac:dyDescent="0.2">
      <c r="A481">
        <v>0</v>
      </c>
      <c r="B481" t="s">
        <v>158</v>
      </c>
      <c r="C481" t="s">
        <v>12</v>
      </c>
      <c r="D481">
        <v>4013</v>
      </c>
      <c r="E481" t="s">
        <v>26</v>
      </c>
      <c r="F481">
        <v>0</v>
      </c>
      <c r="G481">
        <v>20200804</v>
      </c>
      <c r="H481" t="s">
        <v>161</v>
      </c>
      <c r="I481">
        <v>917</v>
      </c>
      <c r="J481" s="61" t="s">
        <v>196</v>
      </c>
      <c r="K481">
        <v>1</v>
      </c>
      <c r="L481">
        <v>385000</v>
      </c>
    </row>
    <row r="482" spans="1:12" ht="15" customHeight="1" x14ac:dyDescent="0.2">
      <c r="A482">
        <v>0</v>
      </c>
      <c r="B482" t="s">
        <v>125</v>
      </c>
      <c r="C482" t="s">
        <v>12</v>
      </c>
      <c r="D482">
        <v>6842</v>
      </c>
      <c r="E482" t="s">
        <v>157</v>
      </c>
      <c r="F482">
        <v>0</v>
      </c>
      <c r="G482">
        <v>20200801</v>
      </c>
      <c r="H482" t="s">
        <v>128</v>
      </c>
      <c r="I482">
        <v>39</v>
      </c>
      <c r="J482">
        <v>79717800</v>
      </c>
      <c r="K482">
        <v>1</v>
      </c>
      <c r="L482">
        <v>385801</v>
      </c>
    </row>
    <row r="483" spans="1:12" ht="15" customHeight="1" x14ac:dyDescent="0.2">
      <c r="A483">
        <v>0</v>
      </c>
      <c r="B483" t="s">
        <v>158</v>
      </c>
      <c r="C483" t="s">
        <v>12</v>
      </c>
      <c r="D483">
        <v>4013</v>
      </c>
      <c r="E483" t="s">
        <v>26</v>
      </c>
      <c r="F483">
        <v>0</v>
      </c>
      <c r="G483">
        <v>20200804</v>
      </c>
      <c r="H483" t="s">
        <v>161</v>
      </c>
      <c r="I483">
        <v>917</v>
      </c>
      <c r="J483" s="61" t="s">
        <v>194</v>
      </c>
      <c r="K483">
        <v>1</v>
      </c>
      <c r="L483">
        <v>393219</v>
      </c>
    </row>
    <row r="484" spans="1:12" ht="15" customHeight="1" x14ac:dyDescent="0.2">
      <c r="A484">
        <v>0</v>
      </c>
      <c r="B484" t="s">
        <v>158</v>
      </c>
      <c r="C484" t="s">
        <v>12</v>
      </c>
      <c r="D484">
        <v>4013</v>
      </c>
      <c r="E484" t="s">
        <v>26</v>
      </c>
      <c r="F484">
        <v>0</v>
      </c>
      <c r="G484">
        <v>20200803</v>
      </c>
      <c r="H484" t="s">
        <v>161</v>
      </c>
      <c r="I484">
        <v>917</v>
      </c>
      <c r="J484" s="61" t="s">
        <v>194</v>
      </c>
      <c r="K484">
        <v>1</v>
      </c>
      <c r="L484">
        <v>395935</v>
      </c>
    </row>
    <row r="485" spans="1:12" ht="15" customHeight="1" x14ac:dyDescent="0.2">
      <c r="A485">
        <v>0</v>
      </c>
      <c r="B485" t="s">
        <v>158</v>
      </c>
      <c r="C485" t="s">
        <v>12</v>
      </c>
      <c r="D485">
        <v>4013</v>
      </c>
      <c r="E485" t="s">
        <v>26</v>
      </c>
      <c r="F485">
        <v>0</v>
      </c>
      <c r="G485">
        <v>20200803</v>
      </c>
      <c r="H485" t="s">
        <v>161</v>
      </c>
      <c r="I485">
        <v>917</v>
      </c>
      <c r="J485" s="61" t="s">
        <v>185</v>
      </c>
      <c r="K485">
        <v>1</v>
      </c>
      <c r="L485">
        <v>400000</v>
      </c>
    </row>
    <row r="486" spans="1:12" ht="15" customHeight="1" x14ac:dyDescent="0.2">
      <c r="A486">
        <v>0</v>
      </c>
      <c r="B486" t="s">
        <v>158</v>
      </c>
      <c r="C486" t="s">
        <v>12</v>
      </c>
      <c r="D486">
        <v>4013</v>
      </c>
      <c r="E486" t="s">
        <v>26</v>
      </c>
      <c r="F486">
        <v>0</v>
      </c>
      <c r="G486">
        <v>20200804</v>
      </c>
      <c r="H486" t="s">
        <v>161</v>
      </c>
      <c r="I486">
        <v>917</v>
      </c>
      <c r="J486" s="61" t="s">
        <v>197</v>
      </c>
      <c r="K486">
        <v>1</v>
      </c>
      <c r="L486">
        <v>400000</v>
      </c>
    </row>
    <row r="487" spans="1:12" ht="15" customHeight="1" x14ac:dyDescent="0.2">
      <c r="A487">
        <v>0</v>
      </c>
      <c r="B487" t="s">
        <v>158</v>
      </c>
      <c r="C487" t="s">
        <v>12</v>
      </c>
      <c r="D487">
        <v>4013</v>
      </c>
      <c r="E487" t="s">
        <v>26</v>
      </c>
      <c r="F487">
        <v>0</v>
      </c>
      <c r="G487">
        <v>20200804</v>
      </c>
      <c r="H487" t="s">
        <v>161</v>
      </c>
      <c r="I487">
        <v>917</v>
      </c>
      <c r="J487" s="61" t="s">
        <v>215</v>
      </c>
      <c r="K487">
        <v>1</v>
      </c>
      <c r="L487">
        <v>400859</v>
      </c>
    </row>
    <row r="488" spans="1:12" ht="15" customHeight="1" x14ac:dyDescent="0.2">
      <c r="A488">
        <v>0</v>
      </c>
      <c r="B488" t="s">
        <v>158</v>
      </c>
      <c r="C488" t="s">
        <v>12</v>
      </c>
      <c r="D488">
        <v>4013</v>
      </c>
      <c r="E488" t="s">
        <v>26</v>
      </c>
      <c r="F488">
        <v>0</v>
      </c>
      <c r="G488">
        <v>20200803</v>
      </c>
      <c r="H488" t="s">
        <v>161</v>
      </c>
      <c r="I488">
        <v>917</v>
      </c>
      <c r="J488" s="61" t="s">
        <v>175</v>
      </c>
      <c r="K488">
        <v>1</v>
      </c>
      <c r="L488">
        <v>404000</v>
      </c>
    </row>
    <row r="489" spans="1:12" ht="15" customHeight="1" x14ac:dyDescent="0.2">
      <c r="A489">
        <v>0</v>
      </c>
      <c r="B489" t="s">
        <v>158</v>
      </c>
      <c r="C489" t="s">
        <v>12</v>
      </c>
      <c r="D489">
        <v>4013</v>
      </c>
      <c r="E489" t="s">
        <v>26</v>
      </c>
      <c r="F489">
        <v>0</v>
      </c>
      <c r="G489">
        <v>20200804</v>
      </c>
      <c r="H489" t="s">
        <v>161</v>
      </c>
      <c r="I489">
        <v>917</v>
      </c>
      <c r="J489" s="61" t="s">
        <v>175</v>
      </c>
      <c r="K489">
        <v>1</v>
      </c>
      <c r="L489">
        <v>404773</v>
      </c>
    </row>
    <row r="490" spans="1:12" ht="15" customHeight="1" x14ac:dyDescent="0.2">
      <c r="A490">
        <v>0</v>
      </c>
      <c r="B490" t="s">
        <v>158</v>
      </c>
      <c r="C490" t="s">
        <v>12</v>
      </c>
      <c r="D490">
        <v>4013</v>
      </c>
      <c r="E490" t="s">
        <v>26</v>
      </c>
      <c r="F490">
        <v>0</v>
      </c>
      <c r="G490">
        <v>20200802</v>
      </c>
      <c r="H490" t="s">
        <v>161</v>
      </c>
      <c r="I490">
        <v>917</v>
      </c>
      <c r="J490" s="61" t="s">
        <v>194</v>
      </c>
      <c r="K490">
        <v>1</v>
      </c>
      <c r="L490">
        <v>405956</v>
      </c>
    </row>
    <row r="491" spans="1:12" ht="15" customHeight="1" x14ac:dyDescent="0.2">
      <c r="A491">
        <v>0</v>
      </c>
      <c r="B491" t="s">
        <v>158</v>
      </c>
      <c r="C491" t="s">
        <v>12</v>
      </c>
      <c r="D491">
        <v>4013</v>
      </c>
      <c r="E491" t="s">
        <v>26</v>
      </c>
      <c r="F491">
        <v>0</v>
      </c>
      <c r="G491">
        <v>20200803</v>
      </c>
      <c r="H491" t="s">
        <v>161</v>
      </c>
      <c r="I491">
        <v>917</v>
      </c>
      <c r="J491" s="61" t="s">
        <v>175</v>
      </c>
      <c r="K491">
        <v>1</v>
      </c>
      <c r="L491">
        <v>407472</v>
      </c>
    </row>
    <row r="492" spans="1:12" ht="15" customHeight="1" x14ac:dyDescent="0.2">
      <c r="A492">
        <v>0</v>
      </c>
      <c r="B492" t="s">
        <v>125</v>
      </c>
      <c r="C492" t="s">
        <v>12</v>
      </c>
      <c r="D492">
        <v>6842</v>
      </c>
      <c r="E492" t="s">
        <v>157</v>
      </c>
      <c r="F492">
        <v>0</v>
      </c>
      <c r="G492">
        <v>20200801</v>
      </c>
      <c r="H492" t="s">
        <v>128</v>
      </c>
      <c r="I492">
        <v>39</v>
      </c>
      <c r="J492">
        <v>9698821</v>
      </c>
      <c r="K492">
        <v>1</v>
      </c>
      <c r="L492">
        <v>412740</v>
      </c>
    </row>
    <row r="493" spans="1:12" ht="15" customHeight="1" x14ac:dyDescent="0.2">
      <c r="A493">
        <v>0</v>
      </c>
      <c r="B493" t="s">
        <v>158</v>
      </c>
      <c r="C493" t="s">
        <v>12</v>
      </c>
      <c r="D493">
        <v>4013</v>
      </c>
      <c r="E493" t="s">
        <v>26</v>
      </c>
      <c r="F493">
        <v>0</v>
      </c>
      <c r="G493">
        <v>20200803</v>
      </c>
      <c r="H493" t="s">
        <v>161</v>
      </c>
      <c r="I493">
        <v>917</v>
      </c>
      <c r="J493" s="61" t="s">
        <v>175</v>
      </c>
      <c r="K493">
        <v>1</v>
      </c>
      <c r="L493">
        <v>415512</v>
      </c>
    </row>
    <row r="494" spans="1:12" ht="15" customHeight="1" x14ac:dyDescent="0.2">
      <c r="A494">
        <v>0</v>
      </c>
      <c r="B494" t="s">
        <v>158</v>
      </c>
      <c r="C494" t="s">
        <v>12</v>
      </c>
      <c r="D494">
        <v>4013</v>
      </c>
      <c r="E494" t="s">
        <v>26</v>
      </c>
      <c r="F494">
        <v>0</v>
      </c>
      <c r="G494">
        <v>20200804</v>
      </c>
      <c r="H494" t="s">
        <v>161</v>
      </c>
      <c r="I494">
        <v>917</v>
      </c>
      <c r="J494" s="61" t="s">
        <v>175</v>
      </c>
      <c r="K494">
        <v>1</v>
      </c>
      <c r="L494">
        <v>416556</v>
      </c>
    </row>
    <row r="495" spans="1:12" ht="15" customHeight="1" x14ac:dyDescent="0.2">
      <c r="A495">
        <v>0</v>
      </c>
      <c r="B495" t="s">
        <v>158</v>
      </c>
      <c r="C495" t="s">
        <v>12</v>
      </c>
      <c r="D495">
        <v>4013</v>
      </c>
      <c r="E495" t="s">
        <v>26</v>
      </c>
      <c r="F495">
        <v>0</v>
      </c>
      <c r="G495">
        <v>20200803</v>
      </c>
      <c r="H495" t="s">
        <v>161</v>
      </c>
      <c r="I495">
        <v>917</v>
      </c>
      <c r="J495" s="61" t="s">
        <v>194</v>
      </c>
      <c r="K495">
        <v>1</v>
      </c>
      <c r="L495">
        <v>419422</v>
      </c>
    </row>
    <row r="496" spans="1:12" ht="15" customHeight="1" x14ac:dyDescent="0.2">
      <c r="A496">
        <v>0</v>
      </c>
      <c r="B496" t="s">
        <v>158</v>
      </c>
      <c r="C496" t="s">
        <v>12</v>
      </c>
      <c r="D496">
        <v>4013</v>
      </c>
      <c r="E496" t="s">
        <v>26</v>
      </c>
      <c r="F496">
        <v>0</v>
      </c>
      <c r="G496">
        <v>20200804</v>
      </c>
      <c r="H496" t="s">
        <v>161</v>
      </c>
      <c r="I496">
        <v>917</v>
      </c>
      <c r="J496" s="61" t="s">
        <v>194</v>
      </c>
      <c r="K496">
        <v>1</v>
      </c>
      <c r="L496">
        <v>419786</v>
      </c>
    </row>
    <row r="497" spans="1:12" ht="15" customHeight="1" x14ac:dyDescent="0.2">
      <c r="A497">
        <v>0</v>
      </c>
      <c r="B497" t="s">
        <v>158</v>
      </c>
      <c r="C497" t="s">
        <v>12</v>
      </c>
      <c r="D497">
        <v>4013</v>
      </c>
      <c r="E497" t="s">
        <v>26</v>
      </c>
      <c r="F497">
        <v>0</v>
      </c>
      <c r="G497">
        <v>20200804</v>
      </c>
      <c r="H497" t="s">
        <v>161</v>
      </c>
      <c r="I497">
        <v>917</v>
      </c>
      <c r="J497" s="61" t="s">
        <v>194</v>
      </c>
      <c r="K497">
        <v>1</v>
      </c>
      <c r="L497">
        <v>421265</v>
      </c>
    </row>
    <row r="498" spans="1:12" ht="15" customHeight="1" x14ac:dyDescent="0.2">
      <c r="A498">
        <v>0</v>
      </c>
      <c r="B498" t="s">
        <v>158</v>
      </c>
      <c r="C498" t="s">
        <v>12</v>
      </c>
      <c r="D498">
        <v>4013</v>
      </c>
      <c r="E498" t="s">
        <v>26</v>
      </c>
      <c r="F498">
        <v>0</v>
      </c>
      <c r="G498">
        <v>20200803</v>
      </c>
      <c r="H498" t="s">
        <v>161</v>
      </c>
      <c r="I498">
        <v>917</v>
      </c>
      <c r="J498" s="61" t="s">
        <v>194</v>
      </c>
      <c r="K498">
        <v>1</v>
      </c>
      <c r="L498">
        <v>422909</v>
      </c>
    </row>
    <row r="499" spans="1:12" ht="15" customHeight="1" x14ac:dyDescent="0.2">
      <c r="A499">
        <v>0</v>
      </c>
      <c r="B499" t="s">
        <v>125</v>
      </c>
      <c r="C499" t="s">
        <v>12</v>
      </c>
      <c r="D499">
        <v>6842</v>
      </c>
      <c r="E499" t="s">
        <v>157</v>
      </c>
      <c r="F499">
        <v>0</v>
      </c>
      <c r="G499">
        <v>20200802</v>
      </c>
      <c r="H499" t="s">
        <v>128</v>
      </c>
      <c r="I499">
        <v>39</v>
      </c>
      <c r="J499">
        <v>79429708</v>
      </c>
      <c r="K499">
        <v>1</v>
      </c>
      <c r="L499">
        <v>429865</v>
      </c>
    </row>
    <row r="500" spans="1:12" ht="15" customHeight="1" x14ac:dyDescent="0.2">
      <c r="A500">
        <v>0</v>
      </c>
      <c r="B500" t="s">
        <v>158</v>
      </c>
      <c r="C500" t="s">
        <v>12</v>
      </c>
      <c r="D500">
        <v>4013</v>
      </c>
      <c r="E500" t="s">
        <v>26</v>
      </c>
      <c r="F500">
        <v>0</v>
      </c>
      <c r="G500">
        <v>20200804</v>
      </c>
      <c r="H500" t="s">
        <v>161</v>
      </c>
      <c r="I500">
        <v>917</v>
      </c>
      <c r="J500" s="61" t="s">
        <v>166</v>
      </c>
      <c r="K500">
        <v>1</v>
      </c>
      <c r="L500">
        <v>433715</v>
      </c>
    </row>
    <row r="501" spans="1:12" ht="15" customHeight="1" x14ac:dyDescent="0.2">
      <c r="A501">
        <v>0</v>
      </c>
      <c r="B501" t="s">
        <v>158</v>
      </c>
      <c r="C501" t="s">
        <v>12</v>
      </c>
      <c r="D501">
        <v>4013</v>
      </c>
      <c r="E501" t="s">
        <v>26</v>
      </c>
      <c r="F501">
        <v>0</v>
      </c>
      <c r="G501">
        <v>20200803</v>
      </c>
      <c r="H501" t="s">
        <v>161</v>
      </c>
      <c r="I501">
        <v>917</v>
      </c>
      <c r="J501" s="61" t="s">
        <v>166</v>
      </c>
      <c r="K501">
        <v>1</v>
      </c>
      <c r="L501">
        <v>437110</v>
      </c>
    </row>
    <row r="502" spans="1:12" ht="15" customHeight="1" x14ac:dyDescent="0.2">
      <c r="A502">
        <v>0</v>
      </c>
      <c r="B502" t="s">
        <v>158</v>
      </c>
      <c r="C502" t="s">
        <v>12</v>
      </c>
      <c r="D502">
        <v>4013</v>
      </c>
      <c r="E502" t="s">
        <v>26</v>
      </c>
      <c r="F502">
        <v>0</v>
      </c>
      <c r="G502">
        <v>20200804</v>
      </c>
      <c r="H502" t="s">
        <v>161</v>
      </c>
      <c r="I502">
        <v>917</v>
      </c>
      <c r="J502" s="61" t="s">
        <v>194</v>
      </c>
      <c r="K502">
        <v>1</v>
      </c>
      <c r="L502">
        <v>439596</v>
      </c>
    </row>
    <row r="503" spans="1:12" ht="15" customHeight="1" x14ac:dyDescent="0.2">
      <c r="A503">
        <v>0</v>
      </c>
      <c r="B503" t="s">
        <v>158</v>
      </c>
      <c r="C503" t="s">
        <v>12</v>
      </c>
      <c r="D503">
        <v>4013</v>
      </c>
      <c r="E503" t="s">
        <v>26</v>
      </c>
      <c r="F503">
        <v>0</v>
      </c>
      <c r="G503">
        <v>20200801</v>
      </c>
      <c r="H503" t="s">
        <v>161</v>
      </c>
      <c r="I503">
        <v>917</v>
      </c>
      <c r="J503" s="61" t="s">
        <v>175</v>
      </c>
      <c r="K503">
        <v>1</v>
      </c>
      <c r="L503">
        <v>440844</v>
      </c>
    </row>
    <row r="504" spans="1:12" ht="15" customHeight="1" x14ac:dyDescent="0.2">
      <c r="A504">
        <v>0</v>
      </c>
      <c r="B504" t="s">
        <v>158</v>
      </c>
      <c r="C504" t="s">
        <v>12</v>
      </c>
      <c r="D504">
        <v>4013</v>
      </c>
      <c r="E504" t="s">
        <v>26</v>
      </c>
      <c r="F504">
        <v>0</v>
      </c>
      <c r="G504">
        <v>20200801</v>
      </c>
      <c r="H504" t="s">
        <v>161</v>
      </c>
      <c r="I504">
        <v>917</v>
      </c>
      <c r="J504" s="61" t="s">
        <v>166</v>
      </c>
      <c r="K504">
        <v>1</v>
      </c>
      <c r="L504">
        <v>441404</v>
      </c>
    </row>
    <row r="505" spans="1:12" ht="15" customHeight="1" x14ac:dyDescent="0.2">
      <c r="A505">
        <v>0</v>
      </c>
      <c r="B505" t="s">
        <v>158</v>
      </c>
      <c r="C505" t="s">
        <v>12</v>
      </c>
      <c r="D505">
        <v>4013</v>
      </c>
      <c r="E505" t="s">
        <v>26</v>
      </c>
      <c r="F505">
        <v>0</v>
      </c>
      <c r="G505">
        <v>20200804</v>
      </c>
      <c r="H505" t="s">
        <v>161</v>
      </c>
      <c r="I505">
        <v>917</v>
      </c>
      <c r="J505" s="61" t="s">
        <v>175</v>
      </c>
      <c r="K505">
        <v>1</v>
      </c>
      <c r="L505">
        <v>459074</v>
      </c>
    </row>
    <row r="506" spans="1:12" ht="15" customHeight="1" x14ac:dyDescent="0.2">
      <c r="A506">
        <v>0</v>
      </c>
      <c r="B506" t="s">
        <v>158</v>
      </c>
      <c r="C506" t="s">
        <v>12</v>
      </c>
      <c r="D506">
        <v>4013</v>
      </c>
      <c r="E506" t="s">
        <v>26</v>
      </c>
      <c r="F506">
        <v>0</v>
      </c>
      <c r="G506">
        <v>20200801</v>
      </c>
      <c r="H506" t="s">
        <v>161</v>
      </c>
      <c r="I506">
        <v>917</v>
      </c>
      <c r="J506" s="61" t="s">
        <v>215</v>
      </c>
      <c r="K506">
        <v>1</v>
      </c>
      <c r="L506">
        <v>460000</v>
      </c>
    </row>
    <row r="507" spans="1:12" ht="15" customHeight="1" x14ac:dyDescent="0.2">
      <c r="A507">
        <v>0</v>
      </c>
      <c r="B507" t="s">
        <v>158</v>
      </c>
      <c r="C507" t="s">
        <v>12</v>
      </c>
      <c r="D507">
        <v>4013</v>
      </c>
      <c r="E507" t="s">
        <v>26</v>
      </c>
      <c r="F507">
        <v>0</v>
      </c>
      <c r="G507">
        <v>20200803</v>
      </c>
      <c r="H507" t="s">
        <v>161</v>
      </c>
      <c r="I507">
        <v>917</v>
      </c>
      <c r="J507" s="61" t="s">
        <v>175</v>
      </c>
      <c r="K507">
        <v>1</v>
      </c>
      <c r="L507">
        <v>463776</v>
      </c>
    </row>
    <row r="508" spans="1:12" ht="15" customHeight="1" x14ac:dyDescent="0.2">
      <c r="A508">
        <v>0</v>
      </c>
      <c r="B508" t="s">
        <v>158</v>
      </c>
      <c r="C508" t="s">
        <v>12</v>
      </c>
      <c r="D508">
        <v>4013</v>
      </c>
      <c r="E508" t="s">
        <v>26</v>
      </c>
      <c r="F508">
        <v>0</v>
      </c>
      <c r="G508">
        <v>20200804</v>
      </c>
      <c r="H508" t="s">
        <v>161</v>
      </c>
      <c r="I508">
        <v>917</v>
      </c>
      <c r="J508" s="61" t="s">
        <v>166</v>
      </c>
      <c r="K508">
        <v>1</v>
      </c>
      <c r="L508">
        <v>468015</v>
      </c>
    </row>
    <row r="509" spans="1:12" ht="15" customHeight="1" x14ac:dyDescent="0.2">
      <c r="A509">
        <v>0</v>
      </c>
      <c r="B509" t="s">
        <v>158</v>
      </c>
      <c r="C509" t="s">
        <v>12</v>
      </c>
      <c r="D509">
        <v>4013</v>
      </c>
      <c r="E509" t="s">
        <v>26</v>
      </c>
      <c r="F509">
        <v>0</v>
      </c>
      <c r="G509">
        <v>20200804</v>
      </c>
      <c r="H509" t="s">
        <v>161</v>
      </c>
      <c r="I509">
        <v>917</v>
      </c>
      <c r="J509" s="61" t="s">
        <v>166</v>
      </c>
      <c r="K509">
        <v>1</v>
      </c>
      <c r="L509">
        <v>475975</v>
      </c>
    </row>
    <row r="510" spans="1:12" ht="15" customHeight="1" x14ac:dyDescent="0.2">
      <c r="A510">
        <v>0</v>
      </c>
      <c r="B510" t="s">
        <v>158</v>
      </c>
      <c r="C510" t="s">
        <v>12</v>
      </c>
      <c r="D510">
        <v>4013</v>
      </c>
      <c r="E510" t="s">
        <v>26</v>
      </c>
      <c r="F510">
        <v>0</v>
      </c>
      <c r="G510">
        <v>20200804</v>
      </c>
      <c r="H510" t="s">
        <v>161</v>
      </c>
      <c r="I510">
        <v>917</v>
      </c>
      <c r="J510" s="61" t="s">
        <v>166</v>
      </c>
      <c r="K510">
        <v>1</v>
      </c>
      <c r="L510">
        <v>476102</v>
      </c>
    </row>
    <row r="511" spans="1:12" ht="15" customHeight="1" x14ac:dyDescent="0.2">
      <c r="A511">
        <v>0</v>
      </c>
      <c r="B511" t="s">
        <v>125</v>
      </c>
      <c r="C511" t="s">
        <v>12</v>
      </c>
      <c r="D511">
        <v>6842</v>
      </c>
      <c r="E511" t="s">
        <v>157</v>
      </c>
      <c r="F511">
        <v>0</v>
      </c>
      <c r="G511">
        <v>20200802</v>
      </c>
      <c r="H511" t="s">
        <v>128</v>
      </c>
      <c r="I511">
        <v>39</v>
      </c>
      <c r="J511">
        <v>53069251</v>
      </c>
      <c r="K511">
        <v>1</v>
      </c>
      <c r="L511">
        <v>477931</v>
      </c>
    </row>
    <row r="512" spans="1:12" ht="15" customHeight="1" x14ac:dyDescent="0.2">
      <c r="A512">
        <v>0</v>
      </c>
      <c r="B512" t="s">
        <v>158</v>
      </c>
      <c r="C512" t="s">
        <v>12</v>
      </c>
      <c r="D512">
        <v>4013</v>
      </c>
      <c r="E512" t="s">
        <v>26</v>
      </c>
      <c r="F512">
        <v>0</v>
      </c>
      <c r="G512">
        <v>20200803</v>
      </c>
      <c r="H512" t="s">
        <v>161</v>
      </c>
      <c r="I512">
        <v>917</v>
      </c>
      <c r="J512" s="61" t="s">
        <v>166</v>
      </c>
      <c r="K512">
        <v>1</v>
      </c>
      <c r="L512">
        <v>480000</v>
      </c>
    </row>
    <row r="513" spans="1:12" ht="15" customHeight="1" x14ac:dyDescent="0.2">
      <c r="A513">
        <v>0</v>
      </c>
      <c r="B513" t="s">
        <v>158</v>
      </c>
      <c r="C513" t="s">
        <v>12</v>
      </c>
      <c r="D513">
        <v>4013</v>
      </c>
      <c r="E513" t="s">
        <v>26</v>
      </c>
      <c r="F513">
        <v>0</v>
      </c>
      <c r="G513">
        <v>20200803</v>
      </c>
      <c r="H513" t="s">
        <v>161</v>
      </c>
      <c r="I513">
        <v>917</v>
      </c>
      <c r="J513" s="61" t="s">
        <v>175</v>
      </c>
      <c r="K513">
        <v>1</v>
      </c>
      <c r="L513">
        <v>487825</v>
      </c>
    </row>
    <row r="514" spans="1:12" ht="15" customHeight="1" x14ac:dyDescent="0.2">
      <c r="A514">
        <v>0</v>
      </c>
      <c r="B514" t="s">
        <v>158</v>
      </c>
      <c r="C514" t="s">
        <v>12</v>
      </c>
      <c r="D514">
        <v>4013</v>
      </c>
      <c r="E514" t="s">
        <v>26</v>
      </c>
      <c r="F514">
        <v>0</v>
      </c>
      <c r="G514">
        <v>20200804</v>
      </c>
      <c r="H514" t="s">
        <v>161</v>
      </c>
      <c r="I514">
        <v>917</v>
      </c>
      <c r="J514" s="61" t="s">
        <v>194</v>
      </c>
      <c r="K514">
        <v>1</v>
      </c>
      <c r="L514">
        <v>487913</v>
      </c>
    </row>
    <row r="515" spans="1:12" ht="15" customHeight="1" x14ac:dyDescent="0.2">
      <c r="A515">
        <v>0</v>
      </c>
      <c r="B515" t="s">
        <v>158</v>
      </c>
      <c r="C515" t="s">
        <v>12</v>
      </c>
      <c r="D515">
        <v>4013</v>
      </c>
      <c r="E515" t="s">
        <v>26</v>
      </c>
      <c r="F515">
        <v>0</v>
      </c>
      <c r="G515">
        <v>20200804</v>
      </c>
      <c r="H515" t="s">
        <v>161</v>
      </c>
      <c r="I515">
        <v>917</v>
      </c>
      <c r="J515" s="61" t="s">
        <v>166</v>
      </c>
      <c r="K515">
        <v>1</v>
      </c>
      <c r="L515">
        <v>494316</v>
      </c>
    </row>
    <row r="516" spans="1:12" ht="15" customHeight="1" x14ac:dyDescent="0.2">
      <c r="A516">
        <v>0</v>
      </c>
      <c r="B516" t="s">
        <v>125</v>
      </c>
      <c r="C516" t="s">
        <v>12</v>
      </c>
      <c r="D516">
        <v>4013</v>
      </c>
      <c r="E516" t="s">
        <v>26</v>
      </c>
      <c r="F516">
        <v>0</v>
      </c>
      <c r="G516">
        <v>20200804</v>
      </c>
      <c r="H516" t="s">
        <v>182</v>
      </c>
      <c r="I516">
        <v>13</v>
      </c>
      <c r="J516" s="61" t="s">
        <v>175</v>
      </c>
      <c r="K516">
        <v>1</v>
      </c>
      <c r="L516">
        <v>494918</v>
      </c>
    </row>
    <row r="517" spans="1:12" ht="15" customHeight="1" x14ac:dyDescent="0.2">
      <c r="A517">
        <v>0</v>
      </c>
      <c r="B517" t="s">
        <v>158</v>
      </c>
      <c r="C517" t="s">
        <v>12</v>
      </c>
      <c r="D517">
        <v>4013</v>
      </c>
      <c r="E517" t="s">
        <v>26</v>
      </c>
      <c r="F517">
        <v>0</v>
      </c>
      <c r="G517">
        <v>20200801</v>
      </c>
      <c r="H517" t="s">
        <v>161</v>
      </c>
      <c r="I517">
        <v>917</v>
      </c>
      <c r="J517" s="61" t="s">
        <v>196</v>
      </c>
      <c r="K517">
        <v>1</v>
      </c>
      <c r="L517">
        <v>500000</v>
      </c>
    </row>
    <row r="518" spans="1:12" ht="15" customHeight="1" x14ac:dyDescent="0.2">
      <c r="A518">
        <v>0</v>
      </c>
      <c r="B518" t="s">
        <v>158</v>
      </c>
      <c r="C518" t="s">
        <v>12</v>
      </c>
      <c r="D518">
        <v>4013</v>
      </c>
      <c r="E518" t="s">
        <v>26</v>
      </c>
      <c r="F518">
        <v>0</v>
      </c>
      <c r="G518">
        <v>20200803</v>
      </c>
      <c r="H518" t="s">
        <v>161</v>
      </c>
      <c r="I518">
        <v>917</v>
      </c>
      <c r="J518" s="61" t="s">
        <v>175</v>
      </c>
      <c r="K518">
        <v>1</v>
      </c>
      <c r="L518">
        <v>500000</v>
      </c>
    </row>
    <row r="519" spans="1:12" ht="15" customHeight="1" x14ac:dyDescent="0.2">
      <c r="A519">
        <v>0</v>
      </c>
      <c r="B519" t="s">
        <v>158</v>
      </c>
      <c r="C519" t="s">
        <v>12</v>
      </c>
      <c r="D519">
        <v>4013</v>
      </c>
      <c r="E519" t="s">
        <v>26</v>
      </c>
      <c r="F519">
        <v>0</v>
      </c>
      <c r="G519">
        <v>20200804</v>
      </c>
      <c r="H519" t="s">
        <v>161</v>
      </c>
      <c r="I519">
        <v>917</v>
      </c>
      <c r="J519" s="61" t="s">
        <v>171</v>
      </c>
      <c r="K519">
        <v>1</v>
      </c>
      <c r="L519">
        <v>500000</v>
      </c>
    </row>
    <row r="520" spans="1:12" ht="15" customHeight="1" x14ac:dyDescent="0.2">
      <c r="A520">
        <v>0</v>
      </c>
      <c r="B520" t="s">
        <v>125</v>
      </c>
      <c r="C520" t="s">
        <v>12</v>
      </c>
      <c r="D520">
        <v>4013</v>
      </c>
      <c r="E520" t="s">
        <v>26</v>
      </c>
      <c r="F520">
        <v>0</v>
      </c>
      <c r="G520">
        <v>20200804</v>
      </c>
      <c r="H520" t="s">
        <v>233</v>
      </c>
      <c r="I520">
        <v>174</v>
      </c>
      <c r="J520" s="61" t="s">
        <v>194</v>
      </c>
      <c r="K520">
        <v>1</v>
      </c>
      <c r="L520">
        <v>501437</v>
      </c>
    </row>
    <row r="521" spans="1:12" ht="15" customHeight="1" x14ac:dyDescent="0.2">
      <c r="A521">
        <v>0</v>
      </c>
      <c r="B521" t="s">
        <v>158</v>
      </c>
      <c r="C521" t="s">
        <v>12</v>
      </c>
      <c r="D521">
        <v>4013</v>
      </c>
      <c r="E521" t="s">
        <v>26</v>
      </c>
      <c r="F521">
        <v>0</v>
      </c>
      <c r="G521">
        <v>20200803</v>
      </c>
      <c r="H521" t="s">
        <v>161</v>
      </c>
      <c r="I521">
        <v>917</v>
      </c>
      <c r="J521" s="61" t="s">
        <v>208</v>
      </c>
      <c r="K521">
        <v>1</v>
      </c>
      <c r="L521">
        <v>503000</v>
      </c>
    </row>
    <row r="522" spans="1:12" ht="15" customHeight="1" x14ac:dyDescent="0.2">
      <c r="A522">
        <v>0</v>
      </c>
      <c r="B522" t="s">
        <v>158</v>
      </c>
      <c r="C522" t="s">
        <v>12</v>
      </c>
      <c r="D522">
        <v>4013</v>
      </c>
      <c r="E522" t="s">
        <v>26</v>
      </c>
      <c r="F522">
        <v>0</v>
      </c>
      <c r="G522">
        <v>20200801</v>
      </c>
      <c r="H522" t="s">
        <v>161</v>
      </c>
      <c r="I522">
        <v>917</v>
      </c>
      <c r="J522" s="61" t="s">
        <v>166</v>
      </c>
      <c r="K522">
        <v>1</v>
      </c>
      <c r="L522">
        <v>505441</v>
      </c>
    </row>
    <row r="523" spans="1:12" ht="15" customHeight="1" x14ac:dyDescent="0.2">
      <c r="A523">
        <v>0</v>
      </c>
      <c r="B523" t="s">
        <v>158</v>
      </c>
      <c r="C523" t="s">
        <v>12</v>
      </c>
      <c r="D523">
        <v>4013</v>
      </c>
      <c r="E523" t="s">
        <v>26</v>
      </c>
      <c r="F523">
        <v>0</v>
      </c>
      <c r="G523">
        <v>20200804</v>
      </c>
      <c r="H523" t="s">
        <v>161</v>
      </c>
      <c r="I523">
        <v>917</v>
      </c>
      <c r="J523" s="61" t="s">
        <v>166</v>
      </c>
      <c r="K523">
        <v>1</v>
      </c>
      <c r="L523">
        <v>507802</v>
      </c>
    </row>
    <row r="524" spans="1:12" ht="15" customHeight="1" x14ac:dyDescent="0.2">
      <c r="A524">
        <v>0</v>
      </c>
      <c r="B524" t="s">
        <v>158</v>
      </c>
      <c r="C524" t="s">
        <v>12</v>
      </c>
      <c r="D524">
        <v>4013</v>
      </c>
      <c r="E524" t="s">
        <v>26</v>
      </c>
      <c r="F524">
        <v>0</v>
      </c>
      <c r="G524">
        <v>20200803</v>
      </c>
      <c r="H524" t="s">
        <v>161</v>
      </c>
      <c r="I524">
        <v>917</v>
      </c>
      <c r="J524" s="61" t="s">
        <v>175</v>
      </c>
      <c r="K524">
        <v>1</v>
      </c>
      <c r="L524">
        <v>512702</v>
      </c>
    </row>
    <row r="525" spans="1:12" ht="15" customHeight="1" x14ac:dyDescent="0.2">
      <c r="A525">
        <v>0</v>
      </c>
      <c r="B525" t="s">
        <v>125</v>
      </c>
      <c r="C525" t="s">
        <v>12</v>
      </c>
      <c r="D525">
        <v>6842</v>
      </c>
      <c r="E525" t="s">
        <v>157</v>
      </c>
      <c r="F525">
        <v>0</v>
      </c>
      <c r="G525">
        <v>20200804</v>
      </c>
      <c r="H525" t="s">
        <v>128</v>
      </c>
      <c r="I525">
        <v>39</v>
      </c>
      <c r="J525">
        <v>1040326207</v>
      </c>
      <c r="K525">
        <v>1</v>
      </c>
      <c r="L525">
        <v>515000</v>
      </c>
    </row>
    <row r="526" spans="1:12" ht="15" customHeight="1" x14ac:dyDescent="0.2">
      <c r="A526">
        <v>0</v>
      </c>
      <c r="B526" t="s">
        <v>158</v>
      </c>
      <c r="C526" t="s">
        <v>12</v>
      </c>
      <c r="D526">
        <v>4013</v>
      </c>
      <c r="E526" t="s">
        <v>26</v>
      </c>
      <c r="F526">
        <v>0</v>
      </c>
      <c r="G526">
        <v>20200803</v>
      </c>
      <c r="H526" t="s">
        <v>161</v>
      </c>
      <c r="I526">
        <v>917</v>
      </c>
      <c r="J526" s="61" t="s">
        <v>166</v>
      </c>
      <c r="K526">
        <v>1</v>
      </c>
      <c r="L526">
        <v>517366</v>
      </c>
    </row>
    <row r="527" spans="1:12" ht="15" customHeight="1" x14ac:dyDescent="0.2">
      <c r="A527">
        <v>0</v>
      </c>
      <c r="B527" t="s">
        <v>158</v>
      </c>
      <c r="C527" t="s">
        <v>12</v>
      </c>
      <c r="D527">
        <v>4013</v>
      </c>
      <c r="E527" t="s">
        <v>26</v>
      </c>
      <c r="F527">
        <v>0</v>
      </c>
      <c r="G527">
        <v>20200803</v>
      </c>
      <c r="H527" t="s">
        <v>161</v>
      </c>
      <c r="I527">
        <v>917</v>
      </c>
      <c r="J527" s="61" t="s">
        <v>175</v>
      </c>
      <c r="K527">
        <v>1</v>
      </c>
      <c r="L527">
        <v>528000</v>
      </c>
    </row>
    <row r="528" spans="1:12" ht="15" customHeight="1" x14ac:dyDescent="0.2">
      <c r="A528">
        <v>0</v>
      </c>
      <c r="B528" t="s">
        <v>125</v>
      </c>
      <c r="C528" t="s">
        <v>12</v>
      </c>
      <c r="D528">
        <v>6842</v>
      </c>
      <c r="E528" t="s">
        <v>157</v>
      </c>
      <c r="F528">
        <v>0</v>
      </c>
      <c r="G528">
        <v>20200804</v>
      </c>
      <c r="H528" t="s">
        <v>128</v>
      </c>
      <c r="I528">
        <v>39</v>
      </c>
      <c r="J528">
        <v>1000454481</v>
      </c>
      <c r="K528">
        <v>1</v>
      </c>
      <c r="L528">
        <v>528159</v>
      </c>
    </row>
    <row r="529" spans="1:12" ht="15" customHeight="1" x14ac:dyDescent="0.2">
      <c r="A529">
        <v>0</v>
      </c>
      <c r="B529" t="s">
        <v>158</v>
      </c>
      <c r="C529" t="s">
        <v>12</v>
      </c>
      <c r="D529">
        <v>4013</v>
      </c>
      <c r="E529" t="s">
        <v>26</v>
      </c>
      <c r="F529">
        <v>0</v>
      </c>
      <c r="G529">
        <v>20200803</v>
      </c>
      <c r="H529" t="s">
        <v>161</v>
      </c>
      <c r="I529">
        <v>917</v>
      </c>
      <c r="J529" s="61" t="s">
        <v>194</v>
      </c>
      <c r="K529">
        <v>1</v>
      </c>
      <c r="L529">
        <v>533550</v>
      </c>
    </row>
    <row r="530" spans="1:12" ht="15" customHeight="1" x14ac:dyDescent="0.2">
      <c r="A530">
        <v>0</v>
      </c>
      <c r="B530" t="s">
        <v>125</v>
      </c>
      <c r="C530" t="s">
        <v>12</v>
      </c>
      <c r="D530">
        <v>6842</v>
      </c>
      <c r="E530" t="s">
        <v>157</v>
      </c>
      <c r="F530">
        <v>0</v>
      </c>
      <c r="G530">
        <v>20200804</v>
      </c>
      <c r="H530" t="s">
        <v>128</v>
      </c>
      <c r="I530">
        <v>39</v>
      </c>
      <c r="J530">
        <v>1073711789</v>
      </c>
      <c r="K530">
        <v>1</v>
      </c>
      <c r="L530">
        <v>539896</v>
      </c>
    </row>
    <row r="531" spans="1:12" ht="15" customHeight="1" x14ac:dyDescent="0.2">
      <c r="A531">
        <v>0</v>
      </c>
      <c r="B531" t="s">
        <v>158</v>
      </c>
      <c r="C531" t="s">
        <v>12</v>
      </c>
      <c r="D531">
        <v>4013</v>
      </c>
      <c r="E531" t="s">
        <v>26</v>
      </c>
      <c r="F531">
        <v>0</v>
      </c>
      <c r="G531">
        <v>20200804</v>
      </c>
      <c r="H531" t="s">
        <v>161</v>
      </c>
      <c r="I531">
        <v>917</v>
      </c>
      <c r="J531" s="61" t="s">
        <v>175</v>
      </c>
      <c r="K531">
        <v>1</v>
      </c>
      <c r="L531">
        <v>541789</v>
      </c>
    </row>
    <row r="532" spans="1:12" ht="15" customHeight="1" x14ac:dyDescent="0.2">
      <c r="A532">
        <v>0</v>
      </c>
      <c r="B532" t="s">
        <v>158</v>
      </c>
      <c r="C532" t="s">
        <v>12</v>
      </c>
      <c r="D532">
        <v>4013</v>
      </c>
      <c r="E532" t="s">
        <v>26</v>
      </c>
      <c r="F532">
        <v>0</v>
      </c>
      <c r="G532">
        <v>20200804</v>
      </c>
      <c r="H532" t="s">
        <v>161</v>
      </c>
      <c r="I532">
        <v>917</v>
      </c>
      <c r="J532" s="61" t="s">
        <v>166</v>
      </c>
      <c r="K532">
        <v>1</v>
      </c>
      <c r="L532">
        <v>552292</v>
      </c>
    </row>
    <row r="533" spans="1:12" ht="15" customHeight="1" x14ac:dyDescent="0.2">
      <c r="A533">
        <v>0</v>
      </c>
      <c r="B533" t="s">
        <v>158</v>
      </c>
      <c r="C533" t="s">
        <v>12</v>
      </c>
      <c r="D533">
        <v>4013</v>
      </c>
      <c r="E533" t="s">
        <v>26</v>
      </c>
      <c r="F533">
        <v>0</v>
      </c>
      <c r="G533">
        <v>20200803</v>
      </c>
      <c r="H533" t="s">
        <v>161</v>
      </c>
      <c r="I533">
        <v>917</v>
      </c>
      <c r="J533" s="61" t="s">
        <v>215</v>
      </c>
      <c r="K533">
        <v>1</v>
      </c>
      <c r="L533">
        <v>559000</v>
      </c>
    </row>
    <row r="534" spans="1:12" ht="15" customHeight="1" x14ac:dyDescent="0.2">
      <c r="A534">
        <v>0</v>
      </c>
      <c r="B534" t="s">
        <v>158</v>
      </c>
      <c r="C534" t="s">
        <v>12</v>
      </c>
      <c r="D534">
        <v>4013</v>
      </c>
      <c r="E534" t="s">
        <v>26</v>
      </c>
      <c r="F534">
        <v>0</v>
      </c>
      <c r="G534">
        <v>20200801</v>
      </c>
      <c r="H534" t="s">
        <v>161</v>
      </c>
      <c r="I534">
        <v>917</v>
      </c>
      <c r="J534" s="61" t="s">
        <v>175</v>
      </c>
      <c r="K534">
        <v>1</v>
      </c>
      <c r="L534">
        <v>569351</v>
      </c>
    </row>
    <row r="535" spans="1:12" ht="15" customHeight="1" x14ac:dyDescent="0.2">
      <c r="A535">
        <v>0</v>
      </c>
      <c r="B535" t="s">
        <v>158</v>
      </c>
      <c r="C535" t="s">
        <v>12</v>
      </c>
      <c r="D535">
        <v>4013</v>
      </c>
      <c r="E535" t="s">
        <v>26</v>
      </c>
      <c r="F535">
        <v>0</v>
      </c>
      <c r="G535">
        <v>20200804</v>
      </c>
      <c r="H535" t="s">
        <v>161</v>
      </c>
      <c r="I535">
        <v>917</v>
      </c>
      <c r="J535" s="61" t="s">
        <v>175</v>
      </c>
      <c r="K535">
        <v>1</v>
      </c>
      <c r="L535">
        <v>569623</v>
      </c>
    </row>
    <row r="536" spans="1:12" ht="15" customHeight="1" x14ac:dyDescent="0.2">
      <c r="A536">
        <v>0</v>
      </c>
      <c r="B536" t="s">
        <v>158</v>
      </c>
      <c r="C536" t="s">
        <v>12</v>
      </c>
      <c r="D536">
        <v>4013</v>
      </c>
      <c r="E536" t="s">
        <v>26</v>
      </c>
      <c r="F536">
        <v>0</v>
      </c>
      <c r="G536">
        <v>20200801</v>
      </c>
      <c r="H536" t="s">
        <v>161</v>
      </c>
      <c r="I536">
        <v>917</v>
      </c>
      <c r="J536" s="61" t="s">
        <v>194</v>
      </c>
      <c r="K536">
        <v>1</v>
      </c>
      <c r="L536">
        <v>571104</v>
      </c>
    </row>
    <row r="537" spans="1:12" ht="15" customHeight="1" x14ac:dyDescent="0.2">
      <c r="A537">
        <v>0</v>
      </c>
      <c r="B537" t="s">
        <v>158</v>
      </c>
      <c r="C537" t="s">
        <v>12</v>
      </c>
      <c r="D537">
        <v>4013</v>
      </c>
      <c r="E537" t="s">
        <v>26</v>
      </c>
      <c r="F537">
        <v>0</v>
      </c>
      <c r="G537">
        <v>20200804</v>
      </c>
      <c r="H537" t="s">
        <v>161</v>
      </c>
      <c r="I537">
        <v>917</v>
      </c>
      <c r="J537" s="61" t="s">
        <v>175</v>
      </c>
      <c r="K537">
        <v>1</v>
      </c>
      <c r="L537">
        <v>573158</v>
      </c>
    </row>
    <row r="538" spans="1:12" ht="15" customHeight="1" x14ac:dyDescent="0.2">
      <c r="A538">
        <v>0</v>
      </c>
      <c r="B538" t="s">
        <v>158</v>
      </c>
      <c r="C538" t="s">
        <v>12</v>
      </c>
      <c r="D538">
        <v>4013</v>
      </c>
      <c r="E538" t="s">
        <v>26</v>
      </c>
      <c r="F538">
        <v>0</v>
      </c>
      <c r="G538">
        <v>20200803</v>
      </c>
      <c r="H538" t="s">
        <v>161</v>
      </c>
      <c r="I538">
        <v>917</v>
      </c>
      <c r="J538" s="61" t="s">
        <v>171</v>
      </c>
      <c r="K538">
        <v>1</v>
      </c>
      <c r="L538">
        <v>600000</v>
      </c>
    </row>
    <row r="539" spans="1:12" ht="15" customHeight="1" x14ac:dyDescent="0.2">
      <c r="A539">
        <v>0</v>
      </c>
      <c r="B539" t="s">
        <v>125</v>
      </c>
      <c r="C539" t="s">
        <v>12</v>
      </c>
      <c r="D539">
        <v>6842</v>
      </c>
      <c r="E539" t="s">
        <v>157</v>
      </c>
      <c r="F539">
        <v>0</v>
      </c>
      <c r="G539">
        <v>20200801</v>
      </c>
      <c r="H539" t="s">
        <v>128</v>
      </c>
      <c r="I539">
        <v>39</v>
      </c>
      <c r="J539">
        <v>1014249544</v>
      </c>
      <c r="K539">
        <v>1</v>
      </c>
      <c r="L539">
        <v>603000</v>
      </c>
    </row>
    <row r="540" spans="1:12" ht="15" customHeight="1" x14ac:dyDescent="0.2">
      <c r="A540">
        <v>0</v>
      </c>
      <c r="B540" t="s">
        <v>158</v>
      </c>
      <c r="C540" t="s">
        <v>12</v>
      </c>
      <c r="D540">
        <v>4013</v>
      </c>
      <c r="E540" t="s">
        <v>26</v>
      </c>
      <c r="F540">
        <v>0</v>
      </c>
      <c r="G540">
        <v>20200802</v>
      </c>
      <c r="H540" t="s">
        <v>161</v>
      </c>
      <c r="I540">
        <v>917</v>
      </c>
      <c r="J540" s="61" t="s">
        <v>166</v>
      </c>
      <c r="K540">
        <v>1</v>
      </c>
      <c r="L540">
        <v>614631</v>
      </c>
    </row>
    <row r="541" spans="1:12" ht="15" customHeight="1" x14ac:dyDescent="0.2">
      <c r="A541">
        <v>0</v>
      </c>
      <c r="B541" t="s">
        <v>158</v>
      </c>
      <c r="C541" t="s">
        <v>12</v>
      </c>
      <c r="D541">
        <v>4013</v>
      </c>
      <c r="E541" t="s">
        <v>26</v>
      </c>
      <c r="F541">
        <v>0</v>
      </c>
      <c r="G541">
        <v>20200803</v>
      </c>
      <c r="H541" t="s">
        <v>161</v>
      </c>
      <c r="I541">
        <v>917</v>
      </c>
      <c r="J541" s="61" t="s">
        <v>194</v>
      </c>
      <c r="K541">
        <v>1</v>
      </c>
      <c r="L541">
        <v>617616</v>
      </c>
    </row>
    <row r="542" spans="1:12" ht="15" customHeight="1" x14ac:dyDescent="0.2">
      <c r="A542">
        <v>0</v>
      </c>
      <c r="B542" t="s">
        <v>125</v>
      </c>
      <c r="C542" t="s">
        <v>12</v>
      </c>
      <c r="D542">
        <v>6842</v>
      </c>
      <c r="E542" t="s">
        <v>157</v>
      </c>
      <c r="F542">
        <v>0</v>
      </c>
      <c r="G542">
        <v>20200803</v>
      </c>
      <c r="H542" t="s">
        <v>128</v>
      </c>
      <c r="I542">
        <v>39</v>
      </c>
      <c r="J542">
        <v>41786374</v>
      </c>
      <c r="K542">
        <v>1</v>
      </c>
      <c r="L542">
        <v>621730</v>
      </c>
    </row>
    <row r="543" spans="1:12" ht="15" customHeight="1" x14ac:dyDescent="0.2">
      <c r="A543">
        <v>0</v>
      </c>
      <c r="B543" t="s">
        <v>158</v>
      </c>
      <c r="C543" t="s">
        <v>12</v>
      </c>
      <c r="D543">
        <v>4013</v>
      </c>
      <c r="E543" t="s">
        <v>26</v>
      </c>
      <c r="F543">
        <v>0</v>
      </c>
      <c r="G543">
        <v>20200801</v>
      </c>
      <c r="H543" t="s">
        <v>161</v>
      </c>
      <c r="I543">
        <v>917</v>
      </c>
      <c r="J543" s="61" t="s">
        <v>194</v>
      </c>
      <c r="K543">
        <v>1</v>
      </c>
      <c r="L543">
        <v>622789</v>
      </c>
    </row>
    <row r="544" spans="1:12" ht="15" customHeight="1" x14ac:dyDescent="0.2">
      <c r="A544">
        <v>0</v>
      </c>
      <c r="B544" t="s">
        <v>125</v>
      </c>
      <c r="C544" t="s">
        <v>12</v>
      </c>
      <c r="D544">
        <v>4013</v>
      </c>
      <c r="E544" t="s">
        <v>26</v>
      </c>
      <c r="F544">
        <v>0</v>
      </c>
      <c r="G544">
        <v>20200804</v>
      </c>
      <c r="H544" t="s">
        <v>234</v>
      </c>
      <c r="I544">
        <v>198</v>
      </c>
      <c r="J544" s="61" t="s">
        <v>175</v>
      </c>
      <c r="K544">
        <v>1</v>
      </c>
      <c r="L544">
        <v>625418</v>
      </c>
    </row>
    <row r="545" spans="1:12" ht="15" customHeight="1" x14ac:dyDescent="0.2">
      <c r="A545">
        <v>0</v>
      </c>
      <c r="B545" t="s">
        <v>235</v>
      </c>
      <c r="C545" t="s">
        <v>12</v>
      </c>
      <c r="D545">
        <v>4017</v>
      </c>
      <c r="E545" t="s">
        <v>29</v>
      </c>
      <c r="F545">
        <v>0</v>
      </c>
      <c r="G545">
        <v>20200804</v>
      </c>
      <c r="H545" t="s">
        <v>236</v>
      </c>
      <c r="I545">
        <v>352</v>
      </c>
      <c r="J545" s="61" t="s">
        <v>194</v>
      </c>
      <c r="K545">
        <v>1</v>
      </c>
      <c r="L545">
        <v>629155</v>
      </c>
    </row>
    <row r="546" spans="1:12" ht="15" customHeight="1" x14ac:dyDescent="0.2">
      <c r="A546">
        <v>0</v>
      </c>
      <c r="B546" t="s">
        <v>158</v>
      </c>
      <c r="C546" t="s">
        <v>12</v>
      </c>
      <c r="D546">
        <v>4013</v>
      </c>
      <c r="E546" t="s">
        <v>26</v>
      </c>
      <c r="F546">
        <v>0</v>
      </c>
      <c r="G546">
        <v>20200804</v>
      </c>
      <c r="H546" t="s">
        <v>161</v>
      </c>
      <c r="I546">
        <v>917</v>
      </c>
      <c r="J546" s="61" t="s">
        <v>166</v>
      </c>
      <c r="K546">
        <v>1</v>
      </c>
      <c r="L546">
        <v>631770</v>
      </c>
    </row>
    <row r="547" spans="1:12" ht="15" customHeight="1" x14ac:dyDescent="0.2">
      <c r="A547">
        <v>0</v>
      </c>
      <c r="B547" t="s">
        <v>125</v>
      </c>
      <c r="C547" t="s">
        <v>12</v>
      </c>
      <c r="D547">
        <v>4013</v>
      </c>
      <c r="E547" t="s">
        <v>26</v>
      </c>
      <c r="F547">
        <v>0</v>
      </c>
      <c r="G547">
        <v>20200804</v>
      </c>
      <c r="H547" t="s">
        <v>168</v>
      </c>
      <c r="I547">
        <v>45</v>
      </c>
      <c r="J547" s="61" t="s">
        <v>166</v>
      </c>
      <c r="K547">
        <v>1</v>
      </c>
      <c r="L547">
        <v>643175</v>
      </c>
    </row>
    <row r="548" spans="1:12" ht="15" customHeight="1" x14ac:dyDescent="0.2">
      <c r="A548">
        <v>0</v>
      </c>
      <c r="B548" t="s">
        <v>158</v>
      </c>
      <c r="C548" t="s">
        <v>12</v>
      </c>
      <c r="D548">
        <v>4013</v>
      </c>
      <c r="E548" t="s">
        <v>26</v>
      </c>
      <c r="F548">
        <v>0</v>
      </c>
      <c r="G548">
        <v>20200801</v>
      </c>
      <c r="H548" t="s">
        <v>161</v>
      </c>
      <c r="I548">
        <v>917</v>
      </c>
      <c r="J548" s="61" t="s">
        <v>175</v>
      </c>
      <c r="K548">
        <v>1</v>
      </c>
      <c r="L548">
        <v>657171</v>
      </c>
    </row>
    <row r="549" spans="1:12" ht="15" customHeight="1" x14ac:dyDescent="0.2">
      <c r="A549">
        <v>0</v>
      </c>
      <c r="B549" t="s">
        <v>125</v>
      </c>
      <c r="C549" t="s">
        <v>12</v>
      </c>
      <c r="D549">
        <v>4013</v>
      </c>
      <c r="E549" t="s">
        <v>26</v>
      </c>
      <c r="F549">
        <v>0</v>
      </c>
      <c r="G549">
        <v>20200804</v>
      </c>
      <c r="H549" t="s">
        <v>233</v>
      </c>
      <c r="I549">
        <v>174</v>
      </c>
      <c r="J549" s="61" t="s">
        <v>166</v>
      </c>
      <c r="K549">
        <v>1</v>
      </c>
      <c r="L549">
        <v>662923</v>
      </c>
    </row>
    <row r="550" spans="1:12" ht="15" customHeight="1" x14ac:dyDescent="0.2">
      <c r="A550">
        <v>0</v>
      </c>
      <c r="B550" t="s">
        <v>125</v>
      </c>
      <c r="C550" t="s">
        <v>12</v>
      </c>
      <c r="D550">
        <v>6842</v>
      </c>
      <c r="E550" t="s">
        <v>157</v>
      </c>
      <c r="F550">
        <v>0</v>
      </c>
      <c r="G550">
        <v>20200802</v>
      </c>
      <c r="H550" t="s">
        <v>128</v>
      </c>
      <c r="I550">
        <v>39</v>
      </c>
      <c r="J550">
        <v>80429959</v>
      </c>
      <c r="K550">
        <v>1</v>
      </c>
      <c r="L550">
        <v>693360</v>
      </c>
    </row>
    <row r="551" spans="1:12" ht="15" customHeight="1" x14ac:dyDescent="0.2">
      <c r="A551">
        <v>0</v>
      </c>
      <c r="B551" t="s">
        <v>158</v>
      </c>
      <c r="C551" t="s">
        <v>12</v>
      </c>
      <c r="D551">
        <v>4013</v>
      </c>
      <c r="E551" t="s">
        <v>26</v>
      </c>
      <c r="F551">
        <v>0</v>
      </c>
      <c r="G551">
        <v>20200803</v>
      </c>
      <c r="H551" t="s">
        <v>161</v>
      </c>
      <c r="I551">
        <v>917</v>
      </c>
      <c r="J551" s="61" t="s">
        <v>175</v>
      </c>
      <c r="K551">
        <v>1</v>
      </c>
      <c r="L551">
        <v>700127</v>
      </c>
    </row>
    <row r="552" spans="1:12" ht="15" customHeight="1" x14ac:dyDescent="0.2">
      <c r="A552">
        <v>0</v>
      </c>
      <c r="B552" t="s">
        <v>158</v>
      </c>
      <c r="C552" t="s">
        <v>12</v>
      </c>
      <c r="D552">
        <v>4013</v>
      </c>
      <c r="E552" t="s">
        <v>26</v>
      </c>
      <c r="F552">
        <v>0</v>
      </c>
      <c r="G552">
        <v>20200804</v>
      </c>
      <c r="H552" t="s">
        <v>161</v>
      </c>
      <c r="I552">
        <v>917</v>
      </c>
      <c r="J552" s="61" t="s">
        <v>166</v>
      </c>
      <c r="K552">
        <v>1</v>
      </c>
      <c r="L552">
        <v>700932</v>
      </c>
    </row>
    <row r="553" spans="1:12" ht="15" customHeight="1" x14ac:dyDescent="0.2">
      <c r="A553">
        <v>0</v>
      </c>
      <c r="B553" t="s">
        <v>158</v>
      </c>
      <c r="C553" t="s">
        <v>12</v>
      </c>
      <c r="D553">
        <v>4013</v>
      </c>
      <c r="E553" t="s">
        <v>26</v>
      </c>
      <c r="F553">
        <v>0</v>
      </c>
      <c r="G553">
        <v>20200804</v>
      </c>
      <c r="H553" t="s">
        <v>161</v>
      </c>
      <c r="I553">
        <v>917</v>
      </c>
      <c r="J553" s="61" t="s">
        <v>175</v>
      </c>
      <c r="K553">
        <v>1</v>
      </c>
      <c r="L553">
        <v>716891</v>
      </c>
    </row>
    <row r="554" spans="1:12" ht="15" customHeight="1" x14ac:dyDescent="0.2">
      <c r="A554">
        <v>0</v>
      </c>
      <c r="B554" t="s">
        <v>158</v>
      </c>
      <c r="C554" t="s">
        <v>12</v>
      </c>
      <c r="D554">
        <v>4013</v>
      </c>
      <c r="E554" t="s">
        <v>26</v>
      </c>
      <c r="F554">
        <v>0</v>
      </c>
      <c r="G554">
        <v>20200804</v>
      </c>
      <c r="H554" t="s">
        <v>161</v>
      </c>
      <c r="I554">
        <v>917</v>
      </c>
      <c r="J554" s="61" t="s">
        <v>175</v>
      </c>
      <c r="K554">
        <v>1</v>
      </c>
      <c r="L554">
        <v>723130</v>
      </c>
    </row>
    <row r="555" spans="1:12" ht="15" customHeight="1" x14ac:dyDescent="0.2">
      <c r="A555">
        <v>0</v>
      </c>
      <c r="B555" t="s">
        <v>158</v>
      </c>
      <c r="C555" t="s">
        <v>12</v>
      </c>
      <c r="D555">
        <v>4013</v>
      </c>
      <c r="E555" t="s">
        <v>26</v>
      </c>
      <c r="F555">
        <v>0</v>
      </c>
      <c r="G555">
        <v>20200804</v>
      </c>
      <c r="H555" t="s">
        <v>161</v>
      </c>
      <c r="I555">
        <v>917</v>
      </c>
      <c r="J555" s="61" t="s">
        <v>166</v>
      </c>
      <c r="K555">
        <v>1</v>
      </c>
      <c r="L555">
        <v>725029</v>
      </c>
    </row>
    <row r="556" spans="1:12" ht="15" customHeight="1" x14ac:dyDescent="0.2">
      <c r="A556">
        <v>0</v>
      </c>
      <c r="B556" t="s">
        <v>158</v>
      </c>
      <c r="C556" t="s">
        <v>12</v>
      </c>
      <c r="D556">
        <v>4013</v>
      </c>
      <c r="E556" t="s">
        <v>26</v>
      </c>
      <c r="F556">
        <v>0</v>
      </c>
      <c r="G556">
        <v>20200803</v>
      </c>
      <c r="H556" t="s">
        <v>161</v>
      </c>
      <c r="I556">
        <v>917</v>
      </c>
      <c r="J556" s="61" t="s">
        <v>175</v>
      </c>
      <c r="K556">
        <v>1</v>
      </c>
      <c r="L556">
        <v>732205</v>
      </c>
    </row>
    <row r="557" spans="1:12" ht="15" customHeight="1" x14ac:dyDescent="0.2">
      <c r="A557">
        <v>0</v>
      </c>
      <c r="B557" t="s">
        <v>158</v>
      </c>
      <c r="C557" t="s">
        <v>12</v>
      </c>
      <c r="D557">
        <v>4013</v>
      </c>
      <c r="E557" t="s">
        <v>26</v>
      </c>
      <c r="F557">
        <v>0</v>
      </c>
      <c r="G557">
        <v>20200803</v>
      </c>
      <c r="H557" t="s">
        <v>161</v>
      </c>
      <c r="I557">
        <v>917</v>
      </c>
      <c r="J557" s="61" t="s">
        <v>166</v>
      </c>
      <c r="K557">
        <v>1</v>
      </c>
      <c r="L557">
        <v>732520</v>
      </c>
    </row>
    <row r="558" spans="1:12" ht="15" customHeight="1" x14ac:dyDescent="0.2">
      <c r="A558">
        <v>0</v>
      </c>
      <c r="B558" t="s">
        <v>125</v>
      </c>
      <c r="C558" t="s">
        <v>12</v>
      </c>
      <c r="D558">
        <v>4013</v>
      </c>
      <c r="E558" t="s">
        <v>26</v>
      </c>
      <c r="F558">
        <v>0</v>
      </c>
      <c r="G558">
        <v>20200804</v>
      </c>
      <c r="H558" t="s">
        <v>237</v>
      </c>
      <c r="I558">
        <v>328</v>
      </c>
      <c r="J558" s="61" t="s">
        <v>166</v>
      </c>
      <c r="K558">
        <v>1</v>
      </c>
      <c r="L558">
        <v>743250</v>
      </c>
    </row>
    <row r="559" spans="1:12" ht="15" customHeight="1" x14ac:dyDescent="0.2">
      <c r="A559">
        <v>0</v>
      </c>
      <c r="B559" t="s">
        <v>158</v>
      </c>
      <c r="C559" t="s">
        <v>12</v>
      </c>
      <c r="D559">
        <v>4013</v>
      </c>
      <c r="E559" t="s">
        <v>26</v>
      </c>
      <c r="F559">
        <v>0</v>
      </c>
      <c r="G559">
        <v>20200804</v>
      </c>
      <c r="H559" t="s">
        <v>161</v>
      </c>
      <c r="I559">
        <v>917</v>
      </c>
      <c r="J559" s="61" t="s">
        <v>166</v>
      </c>
      <c r="K559">
        <v>1</v>
      </c>
      <c r="L559">
        <v>745519</v>
      </c>
    </row>
    <row r="560" spans="1:12" ht="15" customHeight="1" x14ac:dyDescent="0.2">
      <c r="A560">
        <v>0</v>
      </c>
      <c r="B560" t="s">
        <v>158</v>
      </c>
      <c r="C560" t="s">
        <v>12</v>
      </c>
      <c r="D560">
        <v>4013</v>
      </c>
      <c r="E560" t="s">
        <v>26</v>
      </c>
      <c r="F560">
        <v>0</v>
      </c>
      <c r="G560">
        <v>20200804</v>
      </c>
      <c r="H560" t="s">
        <v>161</v>
      </c>
      <c r="I560">
        <v>917</v>
      </c>
      <c r="J560" s="61" t="s">
        <v>194</v>
      </c>
      <c r="K560">
        <v>1</v>
      </c>
      <c r="L560">
        <v>749784</v>
      </c>
    </row>
    <row r="561" spans="1:12" ht="15" customHeight="1" x14ac:dyDescent="0.2">
      <c r="A561">
        <v>0</v>
      </c>
      <c r="B561" t="s">
        <v>158</v>
      </c>
      <c r="C561" t="s">
        <v>12</v>
      </c>
      <c r="D561">
        <v>4013</v>
      </c>
      <c r="E561" t="s">
        <v>26</v>
      </c>
      <c r="F561">
        <v>0</v>
      </c>
      <c r="G561">
        <v>20200803</v>
      </c>
      <c r="H561" t="s">
        <v>161</v>
      </c>
      <c r="I561">
        <v>917</v>
      </c>
      <c r="J561" s="61" t="s">
        <v>238</v>
      </c>
      <c r="K561">
        <v>1</v>
      </c>
      <c r="L561">
        <v>770000</v>
      </c>
    </row>
    <row r="562" spans="1:12" ht="15" customHeight="1" x14ac:dyDescent="0.2">
      <c r="A562">
        <v>0</v>
      </c>
      <c r="B562" t="s">
        <v>158</v>
      </c>
      <c r="C562" t="s">
        <v>12</v>
      </c>
      <c r="D562">
        <v>4013</v>
      </c>
      <c r="E562" t="s">
        <v>26</v>
      </c>
      <c r="F562">
        <v>0</v>
      </c>
      <c r="G562">
        <v>20200802</v>
      </c>
      <c r="H562" t="s">
        <v>161</v>
      </c>
      <c r="I562">
        <v>917</v>
      </c>
      <c r="J562" s="61" t="s">
        <v>194</v>
      </c>
      <c r="K562">
        <v>1</v>
      </c>
      <c r="L562">
        <v>770555</v>
      </c>
    </row>
    <row r="563" spans="1:12" ht="15" customHeight="1" x14ac:dyDescent="0.2">
      <c r="A563">
        <v>0</v>
      </c>
      <c r="B563" t="s">
        <v>125</v>
      </c>
      <c r="C563" t="s">
        <v>12</v>
      </c>
      <c r="D563">
        <v>6842</v>
      </c>
      <c r="E563" t="s">
        <v>157</v>
      </c>
      <c r="F563">
        <v>0</v>
      </c>
      <c r="G563">
        <v>20200803</v>
      </c>
      <c r="H563" t="s">
        <v>128</v>
      </c>
      <c r="I563">
        <v>39</v>
      </c>
      <c r="J563">
        <v>1018498180</v>
      </c>
      <c r="K563">
        <v>1</v>
      </c>
      <c r="L563">
        <v>780000</v>
      </c>
    </row>
    <row r="564" spans="1:12" ht="15" customHeight="1" x14ac:dyDescent="0.2">
      <c r="A564">
        <v>0</v>
      </c>
      <c r="B564" t="s">
        <v>125</v>
      </c>
      <c r="C564" t="s">
        <v>12</v>
      </c>
      <c r="D564">
        <v>4013</v>
      </c>
      <c r="E564" t="s">
        <v>26</v>
      </c>
      <c r="F564">
        <v>0</v>
      </c>
      <c r="G564">
        <v>20200804</v>
      </c>
      <c r="H564" t="s">
        <v>239</v>
      </c>
      <c r="I564">
        <v>740</v>
      </c>
      <c r="J564" s="61" t="s">
        <v>194</v>
      </c>
      <c r="K564">
        <v>1</v>
      </c>
      <c r="L564">
        <v>813000</v>
      </c>
    </row>
    <row r="565" spans="1:12" ht="15" customHeight="1" x14ac:dyDescent="0.2">
      <c r="A565">
        <v>0</v>
      </c>
      <c r="B565" t="s">
        <v>158</v>
      </c>
      <c r="C565" t="s">
        <v>12</v>
      </c>
      <c r="D565">
        <v>4013</v>
      </c>
      <c r="E565" t="s">
        <v>26</v>
      </c>
      <c r="F565">
        <v>0</v>
      </c>
      <c r="G565">
        <v>20200801</v>
      </c>
      <c r="H565" t="s">
        <v>161</v>
      </c>
      <c r="I565">
        <v>917</v>
      </c>
      <c r="J565" s="61" t="s">
        <v>175</v>
      </c>
      <c r="K565">
        <v>1</v>
      </c>
      <c r="L565">
        <v>840046</v>
      </c>
    </row>
    <row r="566" spans="1:12" ht="15" customHeight="1" x14ac:dyDescent="0.2">
      <c r="A566">
        <v>0</v>
      </c>
      <c r="B566" t="s">
        <v>158</v>
      </c>
      <c r="C566" t="s">
        <v>12</v>
      </c>
      <c r="D566">
        <v>4013</v>
      </c>
      <c r="E566" t="s">
        <v>26</v>
      </c>
      <c r="F566">
        <v>0</v>
      </c>
      <c r="G566">
        <v>20200804</v>
      </c>
      <c r="H566" t="s">
        <v>161</v>
      </c>
      <c r="I566">
        <v>917</v>
      </c>
      <c r="J566" s="61" t="s">
        <v>191</v>
      </c>
      <c r="K566">
        <v>1</v>
      </c>
      <c r="L566">
        <v>848000</v>
      </c>
    </row>
    <row r="567" spans="1:12" ht="15" customHeight="1" x14ac:dyDescent="0.2">
      <c r="A567">
        <v>0</v>
      </c>
      <c r="B567" t="s">
        <v>125</v>
      </c>
      <c r="C567" t="s">
        <v>12</v>
      </c>
      <c r="D567">
        <v>6842</v>
      </c>
      <c r="E567" t="s">
        <v>157</v>
      </c>
      <c r="F567">
        <v>0</v>
      </c>
      <c r="G567">
        <v>20200803</v>
      </c>
      <c r="H567" t="s">
        <v>128</v>
      </c>
      <c r="I567">
        <v>39</v>
      </c>
      <c r="J567">
        <v>53042002</v>
      </c>
      <c r="K567">
        <v>1</v>
      </c>
      <c r="L567">
        <v>860940</v>
      </c>
    </row>
    <row r="568" spans="1:12" ht="15" customHeight="1" x14ac:dyDescent="0.2">
      <c r="A568">
        <v>0</v>
      </c>
      <c r="B568" t="s">
        <v>125</v>
      </c>
      <c r="C568" t="s">
        <v>12</v>
      </c>
      <c r="D568">
        <v>6842</v>
      </c>
      <c r="E568" t="s">
        <v>157</v>
      </c>
      <c r="F568">
        <v>0</v>
      </c>
      <c r="G568">
        <v>20200801</v>
      </c>
      <c r="H568" t="s">
        <v>128</v>
      </c>
      <c r="I568">
        <v>39</v>
      </c>
      <c r="J568">
        <v>1076200977</v>
      </c>
      <c r="K568">
        <v>1</v>
      </c>
      <c r="L568">
        <v>864963</v>
      </c>
    </row>
    <row r="569" spans="1:12" ht="15" customHeight="1" x14ac:dyDescent="0.2">
      <c r="A569">
        <v>0</v>
      </c>
      <c r="B569" t="s">
        <v>125</v>
      </c>
      <c r="C569" t="s">
        <v>12</v>
      </c>
      <c r="D569">
        <v>8161</v>
      </c>
      <c r="E569" t="s">
        <v>240</v>
      </c>
      <c r="F569">
        <v>0</v>
      </c>
      <c r="G569">
        <v>20200804</v>
      </c>
      <c r="H569" t="s">
        <v>128</v>
      </c>
      <c r="I569">
        <v>39</v>
      </c>
      <c r="J569" t="s">
        <v>241</v>
      </c>
      <c r="K569">
        <v>1</v>
      </c>
      <c r="L569">
        <v>878500</v>
      </c>
    </row>
    <row r="570" spans="1:12" ht="15" customHeight="1" x14ac:dyDescent="0.2">
      <c r="A570">
        <v>0</v>
      </c>
      <c r="B570" t="s">
        <v>125</v>
      </c>
      <c r="C570" t="s">
        <v>12</v>
      </c>
      <c r="D570">
        <v>525</v>
      </c>
      <c r="E570" t="s">
        <v>228</v>
      </c>
      <c r="F570">
        <v>0</v>
      </c>
      <c r="G570">
        <v>20200803</v>
      </c>
      <c r="H570" t="s">
        <v>128</v>
      </c>
      <c r="I570">
        <v>39</v>
      </c>
      <c r="J570" s="61" t="s">
        <v>166</v>
      </c>
      <c r="K570">
        <v>1</v>
      </c>
      <c r="L570">
        <v>890000</v>
      </c>
    </row>
    <row r="571" spans="1:12" ht="15" customHeight="1" x14ac:dyDescent="0.2">
      <c r="A571">
        <v>0</v>
      </c>
      <c r="B571" t="s">
        <v>125</v>
      </c>
      <c r="C571" t="s">
        <v>12</v>
      </c>
      <c r="D571">
        <v>6842</v>
      </c>
      <c r="E571" t="s">
        <v>157</v>
      </c>
      <c r="F571">
        <v>0</v>
      </c>
      <c r="G571">
        <v>20200803</v>
      </c>
      <c r="H571" t="s">
        <v>128</v>
      </c>
      <c r="I571">
        <v>39</v>
      </c>
      <c r="J571">
        <v>19272692</v>
      </c>
      <c r="K571">
        <v>1</v>
      </c>
      <c r="L571">
        <v>891476</v>
      </c>
    </row>
    <row r="572" spans="1:12" ht="15" customHeight="1" x14ac:dyDescent="0.2">
      <c r="A572">
        <v>0</v>
      </c>
      <c r="B572" t="s">
        <v>125</v>
      </c>
      <c r="C572" t="s">
        <v>12</v>
      </c>
      <c r="D572">
        <v>6842</v>
      </c>
      <c r="E572" t="s">
        <v>157</v>
      </c>
      <c r="F572">
        <v>0</v>
      </c>
      <c r="G572">
        <v>20200803</v>
      </c>
      <c r="H572" t="s">
        <v>128</v>
      </c>
      <c r="I572">
        <v>39</v>
      </c>
      <c r="J572">
        <v>51645307</v>
      </c>
      <c r="K572">
        <v>1</v>
      </c>
      <c r="L572">
        <v>900000</v>
      </c>
    </row>
    <row r="573" spans="1:12" ht="15" customHeight="1" x14ac:dyDescent="0.2">
      <c r="A573">
        <v>0</v>
      </c>
      <c r="B573" t="s">
        <v>158</v>
      </c>
      <c r="C573" t="s">
        <v>12</v>
      </c>
      <c r="D573">
        <v>4013</v>
      </c>
      <c r="E573" t="s">
        <v>26</v>
      </c>
      <c r="F573">
        <v>0</v>
      </c>
      <c r="G573">
        <v>20200803</v>
      </c>
      <c r="H573" t="s">
        <v>161</v>
      </c>
      <c r="I573">
        <v>917</v>
      </c>
      <c r="J573" s="61" t="s">
        <v>194</v>
      </c>
      <c r="K573">
        <v>1</v>
      </c>
      <c r="L573">
        <v>923998</v>
      </c>
    </row>
    <row r="574" spans="1:12" ht="15" customHeight="1" x14ac:dyDescent="0.2">
      <c r="A574">
        <v>0</v>
      </c>
      <c r="B574" t="s">
        <v>158</v>
      </c>
      <c r="C574" t="s">
        <v>12</v>
      </c>
      <c r="D574">
        <v>4013</v>
      </c>
      <c r="E574" t="s">
        <v>26</v>
      </c>
      <c r="F574">
        <v>0</v>
      </c>
      <c r="G574">
        <v>20200801</v>
      </c>
      <c r="H574" t="s">
        <v>161</v>
      </c>
      <c r="I574">
        <v>917</v>
      </c>
      <c r="J574" s="61" t="s">
        <v>194</v>
      </c>
      <c r="K574">
        <v>1</v>
      </c>
      <c r="L574">
        <v>933000</v>
      </c>
    </row>
    <row r="575" spans="1:12" ht="15" customHeight="1" x14ac:dyDescent="0.2">
      <c r="A575">
        <v>0</v>
      </c>
      <c r="B575" t="s">
        <v>125</v>
      </c>
      <c r="C575" t="s">
        <v>12</v>
      </c>
      <c r="D575">
        <v>6842</v>
      </c>
      <c r="E575" t="s">
        <v>157</v>
      </c>
      <c r="F575">
        <v>0</v>
      </c>
      <c r="G575">
        <v>20200801</v>
      </c>
      <c r="H575" t="s">
        <v>128</v>
      </c>
      <c r="I575">
        <v>39</v>
      </c>
      <c r="J575">
        <v>19458234</v>
      </c>
      <c r="K575">
        <v>1</v>
      </c>
      <c r="L575">
        <v>980945</v>
      </c>
    </row>
    <row r="576" spans="1:12" ht="15" customHeight="1" x14ac:dyDescent="0.2">
      <c r="A576">
        <v>0</v>
      </c>
      <c r="B576" t="s">
        <v>158</v>
      </c>
      <c r="C576" t="s">
        <v>12</v>
      </c>
      <c r="D576">
        <v>4013</v>
      </c>
      <c r="E576" t="s">
        <v>26</v>
      </c>
      <c r="F576">
        <v>0</v>
      </c>
      <c r="G576">
        <v>20200804</v>
      </c>
      <c r="H576" t="s">
        <v>161</v>
      </c>
      <c r="I576">
        <v>917</v>
      </c>
      <c r="J576" s="61" t="s">
        <v>166</v>
      </c>
      <c r="K576">
        <v>1</v>
      </c>
      <c r="L576">
        <v>989843</v>
      </c>
    </row>
    <row r="577" spans="1:12" ht="15" customHeight="1" x14ac:dyDescent="0.2">
      <c r="A577">
        <v>0</v>
      </c>
      <c r="B577" t="s">
        <v>158</v>
      </c>
      <c r="C577" t="s">
        <v>12</v>
      </c>
      <c r="D577">
        <v>4013</v>
      </c>
      <c r="E577" t="s">
        <v>26</v>
      </c>
      <c r="F577">
        <v>0</v>
      </c>
      <c r="G577">
        <v>20200804</v>
      </c>
      <c r="H577" t="s">
        <v>161</v>
      </c>
      <c r="I577">
        <v>917</v>
      </c>
      <c r="J577" s="61" t="s">
        <v>175</v>
      </c>
      <c r="K577">
        <v>1</v>
      </c>
      <c r="L577">
        <v>1002282</v>
      </c>
    </row>
    <row r="578" spans="1:12" ht="15" customHeight="1" x14ac:dyDescent="0.2">
      <c r="A578">
        <v>0</v>
      </c>
      <c r="B578" t="s">
        <v>125</v>
      </c>
      <c r="C578" t="s">
        <v>12</v>
      </c>
      <c r="D578">
        <v>6842</v>
      </c>
      <c r="E578" t="s">
        <v>157</v>
      </c>
      <c r="F578">
        <v>0</v>
      </c>
      <c r="G578">
        <v>20200804</v>
      </c>
      <c r="H578" t="s">
        <v>128</v>
      </c>
      <c r="I578">
        <v>39</v>
      </c>
      <c r="J578">
        <v>1033801865</v>
      </c>
      <c r="K578">
        <v>1</v>
      </c>
      <c r="L578">
        <v>1004000</v>
      </c>
    </row>
    <row r="579" spans="1:12" ht="15" customHeight="1" x14ac:dyDescent="0.2">
      <c r="A579">
        <v>0</v>
      </c>
      <c r="B579" t="s">
        <v>125</v>
      </c>
      <c r="C579" t="s">
        <v>12</v>
      </c>
      <c r="D579">
        <v>4013</v>
      </c>
      <c r="E579" t="s">
        <v>26</v>
      </c>
      <c r="F579">
        <v>0</v>
      </c>
      <c r="G579">
        <v>20200803</v>
      </c>
      <c r="H579" t="s">
        <v>242</v>
      </c>
      <c r="I579">
        <v>406</v>
      </c>
      <c r="J579" s="61" t="s">
        <v>194</v>
      </c>
      <c r="K579">
        <v>1</v>
      </c>
      <c r="L579">
        <v>1014250</v>
      </c>
    </row>
    <row r="580" spans="1:12" ht="15" customHeight="1" x14ac:dyDescent="0.2">
      <c r="A580">
        <v>0</v>
      </c>
      <c r="B580" t="s">
        <v>158</v>
      </c>
      <c r="C580" t="s">
        <v>12</v>
      </c>
      <c r="D580">
        <v>4013</v>
      </c>
      <c r="E580" t="s">
        <v>26</v>
      </c>
      <c r="F580">
        <v>0</v>
      </c>
      <c r="G580">
        <v>20200804</v>
      </c>
      <c r="H580" t="s">
        <v>161</v>
      </c>
      <c r="I580">
        <v>917</v>
      </c>
      <c r="J580" s="61" t="s">
        <v>196</v>
      </c>
      <c r="K580">
        <v>1</v>
      </c>
      <c r="L580">
        <v>1015000</v>
      </c>
    </row>
    <row r="581" spans="1:12" ht="15" customHeight="1" x14ac:dyDescent="0.2">
      <c r="A581">
        <v>0</v>
      </c>
      <c r="B581" t="s">
        <v>125</v>
      </c>
      <c r="C581" t="s">
        <v>12</v>
      </c>
      <c r="D581">
        <v>6842</v>
      </c>
      <c r="E581" t="s">
        <v>157</v>
      </c>
      <c r="F581">
        <v>0</v>
      </c>
      <c r="G581">
        <v>20200801</v>
      </c>
      <c r="H581" t="s">
        <v>128</v>
      </c>
      <c r="I581">
        <v>39</v>
      </c>
      <c r="J581">
        <v>41521868</v>
      </c>
      <c r="K581">
        <v>1</v>
      </c>
      <c r="L581">
        <v>1018000</v>
      </c>
    </row>
    <row r="582" spans="1:12" ht="15" customHeight="1" x14ac:dyDescent="0.2">
      <c r="A582">
        <v>0</v>
      </c>
      <c r="B582" t="s">
        <v>158</v>
      </c>
      <c r="C582" t="s">
        <v>12</v>
      </c>
      <c r="D582">
        <v>4013</v>
      </c>
      <c r="E582" t="s">
        <v>26</v>
      </c>
      <c r="F582">
        <v>0</v>
      </c>
      <c r="G582">
        <v>20200804</v>
      </c>
      <c r="H582" t="s">
        <v>161</v>
      </c>
      <c r="I582">
        <v>917</v>
      </c>
      <c r="J582" s="61" t="s">
        <v>194</v>
      </c>
      <c r="K582">
        <v>1</v>
      </c>
      <c r="L582">
        <v>1040665</v>
      </c>
    </row>
    <row r="583" spans="1:12" ht="15" customHeight="1" x14ac:dyDescent="0.2">
      <c r="A583">
        <v>0</v>
      </c>
      <c r="B583" t="s">
        <v>158</v>
      </c>
      <c r="C583" t="s">
        <v>12</v>
      </c>
      <c r="D583">
        <v>4013</v>
      </c>
      <c r="E583" t="s">
        <v>26</v>
      </c>
      <c r="F583">
        <v>0</v>
      </c>
      <c r="G583">
        <v>20200804</v>
      </c>
      <c r="H583" t="s">
        <v>161</v>
      </c>
      <c r="I583">
        <v>917</v>
      </c>
      <c r="J583" s="61" t="s">
        <v>175</v>
      </c>
      <c r="K583">
        <v>1</v>
      </c>
      <c r="L583">
        <v>1108000</v>
      </c>
    </row>
    <row r="584" spans="1:12" ht="15" customHeight="1" x14ac:dyDescent="0.2">
      <c r="A584">
        <v>0</v>
      </c>
      <c r="B584" t="s">
        <v>158</v>
      </c>
      <c r="C584" t="s">
        <v>12</v>
      </c>
      <c r="D584">
        <v>4013</v>
      </c>
      <c r="E584" t="s">
        <v>26</v>
      </c>
      <c r="F584">
        <v>0</v>
      </c>
      <c r="G584">
        <v>20200804</v>
      </c>
      <c r="H584" t="s">
        <v>161</v>
      </c>
      <c r="I584">
        <v>917</v>
      </c>
      <c r="J584" s="61" t="s">
        <v>166</v>
      </c>
      <c r="K584">
        <v>1</v>
      </c>
      <c r="L584">
        <v>1108972</v>
      </c>
    </row>
    <row r="585" spans="1:12" ht="15" customHeight="1" x14ac:dyDescent="0.2">
      <c r="A585">
        <v>0</v>
      </c>
      <c r="B585" t="s">
        <v>125</v>
      </c>
      <c r="C585" t="s">
        <v>12</v>
      </c>
      <c r="D585">
        <v>6842</v>
      </c>
      <c r="E585" t="s">
        <v>157</v>
      </c>
      <c r="F585">
        <v>0</v>
      </c>
      <c r="G585">
        <v>20200804</v>
      </c>
      <c r="H585" t="s">
        <v>128</v>
      </c>
      <c r="I585">
        <v>39</v>
      </c>
      <c r="J585">
        <v>41644396</v>
      </c>
      <c r="K585">
        <v>1</v>
      </c>
      <c r="L585">
        <v>1158333</v>
      </c>
    </row>
    <row r="586" spans="1:12" ht="15" customHeight="1" x14ac:dyDescent="0.2">
      <c r="A586">
        <v>0</v>
      </c>
      <c r="B586" t="s">
        <v>243</v>
      </c>
      <c r="C586" t="s">
        <v>12</v>
      </c>
      <c r="D586">
        <v>4017</v>
      </c>
      <c r="E586" t="s">
        <v>29</v>
      </c>
      <c r="F586">
        <v>0</v>
      </c>
      <c r="G586">
        <v>20200803</v>
      </c>
      <c r="H586" t="s">
        <v>243</v>
      </c>
      <c r="I586">
        <v>424</v>
      </c>
      <c r="J586" s="61" t="s">
        <v>166</v>
      </c>
      <c r="K586">
        <v>1</v>
      </c>
      <c r="L586">
        <v>1180300</v>
      </c>
    </row>
    <row r="587" spans="1:12" ht="15" customHeight="1" x14ac:dyDescent="0.2">
      <c r="A587">
        <v>0</v>
      </c>
      <c r="B587" t="s">
        <v>158</v>
      </c>
      <c r="C587" t="s">
        <v>12</v>
      </c>
      <c r="D587">
        <v>4013</v>
      </c>
      <c r="E587" t="s">
        <v>26</v>
      </c>
      <c r="F587">
        <v>0</v>
      </c>
      <c r="G587">
        <v>20200803</v>
      </c>
      <c r="H587" t="s">
        <v>161</v>
      </c>
      <c r="I587">
        <v>917</v>
      </c>
      <c r="J587" s="61" t="s">
        <v>172</v>
      </c>
      <c r="K587">
        <v>1</v>
      </c>
      <c r="L587">
        <v>1200000</v>
      </c>
    </row>
    <row r="588" spans="1:12" ht="15" customHeight="1" x14ac:dyDescent="0.2">
      <c r="A588">
        <v>0</v>
      </c>
      <c r="B588" t="s">
        <v>244</v>
      </c>
      <c r="C588" t="s">
        <v>12</v>
      </c>
      <c r="D588">
        <v>4013</v>
      </c>
      <c r="E588" t="s">
        <v>26</v>
      </c>
      <c r="F588">
        <v>0</v>
      </c>
      <c r="G588">
        <v>20200803</v>
      </c>
      <c r="H588" t="s">
        <v>245</v>
      </c>
      <c r="I588">
        <v>159</v>
      </c>
      <c r="J588" s="61" t="s">
        <v>194</v>
      </c>
      <c r="K588">
        <v>1</v>
      </c>
      <c r="L588">
        <v>1208358</v>
      </c>
    </row>
    <row r="589" spans="1:12" ht="15" customHeight="1" x14ac:dyDescent="0.2">
      <c r="A589">
        <v>0</v>
      </c>
      <c r="B589" t="s">
        <v>158</v>
      </c>
      <c r="C589" t="s">
        <v>12</v>
      </c>
      <c r="D589">
        <v>4013</v>
      </c>
      <c r="E589" t="s">
        <v>26</v>
      </c>
      <c r="F589">
        <v>0</v>
      </c>
      <c r="G589">
        <v>20200801</v>
      </c>
      <c r="H589" t="s">
        <v>161</v>
      </c>
      <c r="I589">
        <v>917</v>
      </c>
      <c r="J589" s="61" t="s">
        <v>175</v>
      </c>
      <c r="K589">
        <v>1</v>
      </c>
      <c r="L589">
        <v>1260653</v>
      </c>
    </row>
    <row r="590" spans="1:12" ht="15" customHeight="1" x14ac:dyDescent="0.2">
      <c r="A590">
        <v>0</v>
      </c>
      <c r="B590" t="s">
        <v>125</v>
      </c>
      <c r="C590" t="s">
        <v>12</v>
      </c>
      <c r="D590">
        <v>6842</v>
      </c>
      <c r="E590" t="s">
        <v>157</v>
      </c>
      <c r="F590">
        <v>0</v>
      </c>
      <c r="G590">
        <v>20200804</v>
      </c>
      <c r="H590" t="s">
        <v>128</v>
      </c>
      <c r="I590">
        <v>39</v>
      </c>
      <c r="J590">
        <v>34327184</v>
      </c>
      <c r="K590">
        <v>1</v>
      </c>
      <c r="L590">
        <v>1300000</v>
      </c>
    </row>
    <row r="591" spans="1:12" ht="15" customHeight="1" x14ac:dyDescent="0.2">
      <c r="A591">
        <v>0</v>
      </c>
      <c r="B591" t="s">
        <v>158</v>
      </c>
      <c r="C591" t="s">
        <v>12</v>
      </c>
      <c r="D591">
        <v>4013</v>
      </c>
      <c r="E591" t="s">
        <v>26</v>
      </c>
      <c r="F591">
        <v>0</v>
      </c>
      <c r="G591">
        <v>20200801</v>
      </c>
      <c r="H591" t="s">
        <v>161</v>
      </c>
      <c r="I591">
        <v>917</v>
      </c>
      <c r="J591" s="61" t="s">
        <v>166</v>
      </c>
      <c r="K591">
        <v>1</v>
      </c>
      <c r="L591">
        <v>1315915</v>
      </c>
    </row>
    <row r="592" spans="1:12" ht="15" customHeight="1" x14ac:dyDescent="0.2">
      <c r="A592">
        <v>0</v>
      </c>
      <c r="B592" t="s">
        <v>125</v>
      </c>
      <c r="C592" t="s">
        <v>12</v>
      </c>
      <c r="D592">
        <v>4013</v>
      </c>
      <c r="E592" t="s">
        <v>26</v>
      </c>
      <c r="F592">
        <v>0</v>
      </c>
      <c r="G592">
        <v>20200804</v>
      </c>
      <c r="H592" t="s">
        <v>216</v>
      </c>
      <c r="I592">
        <v>996</v>
      </c>
      <c r="J592" s="61" t="s">
        <v>185</v>
      </c>
      <c r="K592">
        <v>1</v>
      </c>
      <c r="L592">
        <v>1384040</v>
      </c>
    </row>
    <row r="593" spans="1:12" ht="15" customHeight="1" x14ac:dyDescent="0.2">
      <c r="A593">
        <v>0</v>
      </c>
      <c r="B593" t="s">
        <v>158</v>
      </c>
      <c r="C593" t="s">
        <v>12</v>
      </c>
      <c r="D593">
        <v>4013</v>
      </c>
      <c r="E593" t="s">
        <v>26</v>
      </c>
      <c r="F593">
        <v>0</v>
      </c>
      <c r="G593">
        <v>20200803</v>
      </c>
      <c r="H593" t="s">
        <v>161</v>
      </c>
      <c r="I593">
        <v>917</v>
      </c>
      <c r="J593" s="61" t="s">
        <v>194</v>
      </c>
      <c r="K593">
        <v>1</v>
      </c>
      <c r="L593">
        <v>1499366</v>
      </c>
    </row>
    <row r="594" spans="1:12" ht="15" customHeight="1" x14ac:dyDescent="0.2">
      <c r="A594">
        <v>0</v>
      </c>
      <c r="B594" t="s">
        <v>158</v>
      </c>
      <c r="C594" t="s">
        <v>12</v>
      </c>
      <c r="D594">
        <v>4013</v>
      </c>
      <c r="E594" t="s">
        <v>26</v>
      </c>
      <c r="F594">
        <v>0</v>
      </c>
      <c r="G594">
        <v>20200804</v>
      </c>
      <c r="H594" t="s">
        <v>161</v>
      </c>
      <c r="I594">
        <v>917</v>
      </c>
      <c r="J594" s="61" t="s">
        <v>197</v>
      </c>
      <c r="K594">
        <v>1</v>
      </c>
      <c r="L594">
        <v>1500000</v>
      </c>
    </row>
    <row r="595" spans="1:12" ht="15" customHeight="1" x14ac:dyDescent="0.2">
      <c r="A595">
        <v>0</v>
      </c>
      <c r="B595" t="s">
        <v>125</v>
      </c>
      <c r="C595" t="s">
        <v>12</v>
      </c>
      <c r="D595">
        <v>6842</v>
      </c>
      <c r="E595" t="s">
        <v>157</v>
      </c>
      <c r="F595">
        <v>0</v>
      </c>
      <c r="G595">
        <v>20200802</v>
      </c>
      <c r="H595" t="s">
        <v>128</v>
      </c>
      <c r="I595">
        <v>39</v>
      </c>
      <c r="J595">
        <v>21070502</v>
      </c>
      <c r="K595">
        <v>1</v>
      </c>
      <c r="L595">
        <v>1794300</v>
      </c>
    </row>
    <row r="596" spans="1:12" ht="15" customHeight="1" x14ac:dyDescent="0.2">
      <c r="A596">
        <v>0</v>
      </c>
      <c r="B596" t="s">
        <v>125</v>
      </c>
      <c r="C596" t="s">
        <v>12</v>
      </c>
      <c r="D596">
        <v>4013</v>
      </c>
      <c r="E596" t="s">
        <v>26</v>
      </c>
      <c r="F596">
        <v>0</v>
      </c>
      <c r="G596">
        <v>20200804</v>
      </c>
      <c r="H596" t="s">
        <v>246</v>
      </c>
      <c r="I596">
        <v>249</v>
      </c>
      <c r="J596" s="61" t="s">
        <v>194</v>
      </c>
      <c r="K596">
        <v>1</v>
      </c>
      <c r="L596">
        <v>1795835</v>
      </c>
    </row>
    <row r="597" spans="1:12" ht="15" customHeight="1" x14ac:dyDescent="0.2">
      <c r="A597">
        <v>0</v>
      </c>
      <c r="B597" t="s">
        <v>125</v>
      </c>
      <c r="C597" t="s">
        <v>12</v>
      </c>
      <c r="D597">
        <v>6842</v>
      </c>
      <c r="E597" t="s">
        <v>157</v>
      </c>
      <c r="F597">
        <v>0</v>
      </c>
      <c r="G597">
        <v>20200802</v>
      </c>
      <c r="H597" t="s">
        <v>128</v>
      </c>
      <c r="I597">
        <v>39</v>
      </c>
      <c r="J597">
        <v>21070502</v>
      </c>
      <c r="K597">
        <v>1</v>
      </c>
      <c r="L597">
        <v>1800000</v>
      </c>
    </row>
    <row r="598" spans="1:12" ht="15" customHeight="1" x14ac:dyDescent="0.2">
      <c r="A598">
        <v>0</v>
      </c>
      <c r="B598" t="s">
        <v>158</v>
      </c>
      <c r="C598" t="s">
        <v>12</v>
      </c>
      <c r="D598">
        <v>4013</v>
      </c>
      <c r="E598" t="s">
        <v>26</v>
      </c>
      <c r="F598">
        <v>0</v>
      </c>
      <c r="G598">
        <v>20200801</v>
      </c>
      <c r="H598" t="s">
        <v>161</v>
      </c>
      <c r="I598">
        <v>917</v>
      </c>
      <c r="J598" s="61" t="s">
        <v>247</v>
      </c>
      <c r="K598">
        <v>1</v>
      </c>
      <c r="L598">
        <v>2000000</v>
      </c>
    </row>
    <row r="599" spans="1:12" ht="15" customHeight="1" x14ac:dyDescent="0.2">
      <c r="A599">
        <v>0</v>
      </c>
      <c r="B599" t="s">
        <v>231</v>
      </c>
      <c r="C599" t="s">
        <v>12</v>
      </c>
      <c r="D599">
        <v>4018</v>
      </c>
      <c r="E599" t="s">
        <v>133</v>
      </c>
      <c r="F599">
        <v>0</v>
      </c>
      <c r="G599">
        <v>20200804</v>
      </c>
      <c r="H599" t="s">
        <v>248</v>
      </c>
      <c r="I599">
        <v>820</v>
      </c>
      <c r="J599" s="61" t="s">
        <v>191</v>
      </c>
      <c r="K599">
        <v>1</v>
      </c>
      <c r="L599">
        <v>2500000</v>
      </c>
    </row>
    <row r="600" spans="1:12" ht="15" customHeight="1" x14ac:dyDescent="0.2">
      <c r="A600">
        <v>0</v>
      </c>
      <c r="B600" t="s">
        <v>158</v>
      </c>
      <c r="C600" t="s">
        <v>12</v>
      </c>
      <c r="D600">
        <v>4013</v>
      </c>
      <c r="E600" t="s">
        <v>26</v>
      </c>
      <c r="F600">
        <v>0</v>
      </c>
      <c r="G600">
        <v>20200804</v>
      </c>
      <c r="H600" t="s">
        <v>161</v>
      </c>
      <c r="I600">
        <v>917</v>
      </c>
      <c r="J600" s="61" t="s">
        <v>202</v>
      </c>
      <c r="K600">
        <v>1</v>
      </c>
      <c r="L600">
        <v>2775000</v>
      </c>
    </row>
    <row r="601" spans="1:12" ht="15" customHeight="1" x14ac:dyDescent="0.2">
      <c r="A601">
        <v>0</v>
      </c>
      <c r="B601" t="s">
        <v>125</v>
      </c>
      <c r="C601" t="s">
        <v>12</v>
      </c>
      <c r="D601">
        <v>6842</v>
      </c>
      <c r="E601" t="s">
        <v>157</v>
      </c>
      <c r="F601">
        <v>0</v>
      </c>
      <c r="G601">
        <v>20200803</v>
      </c>
      <c r="H601" t="s">
        <v>128</v>
      </c>
      <c r="I601">
        <v>39</v>
      </c>
      <c r="J601">
        <v>19052713</v>
      </c>
      <c r="K601">
        <v>1</v>
      </c>
      <c r="L601">
        <v>2984048</v>
      </c>
    </row>
    <row r="602" spans="1:12" ht="15" customHeight="1" x14ac:dyDescent="0.2">
      <c r="A602">
        <v>0</v>
      </c>
      <c r="B602" t="s">
        <v>231</v>
      </c>
      <c r="C602" t="s">
        <v>12</v>
      </c>
      <c r="D602">
        <v>4018</v>
      </c>
      <c r="E602" t="s">
        <v>133</v>
      </c>
      <c r="F602">
        <v>0</v>
      </c>
      <c r="G602">
        <v>20200804</v>
      </c>
      <c r="H602" t="s">
        <v>248</v>
      </c>
      <c r="I602">
        <v>820</v>
      </c>
      <c r="J602" s="61" t="s">
        <v>230</v>
      </c>
      <c r="K602">
        <v>1</v>
      </c>
      <c r="L602">
        <v>3200000</v>
      </c>
    </row>
    <row r="603" spans="1:12" ht="15" customHeight="1" x14ac:dyDescent="0.2">
      <c r="A603">
        <v>0</v>
      </c>
      <c r="B603" t="s">
        <v>125</v>
      </c>
      <c r="C603" t="s">
        <v>12</v>
      </c>
      <c r="D603">
        <v>6842</v>
      </c>
      <c r="E603" t="s">
        <v>157</v>
      </c>
      <c r="F603">
        <v>0</v>
      </c>
      <c r="G603">
        <v>20200804</v>
      </c>
      <c r="H603" t="s">
        <v>128</v>
      </c>
      <c r="I603">
        <v>39</v>
      </c>
      <c r="J603">
        <v>8300229070</v>
      </c>
      <c r="K603">
        <v>1</v>
      </c>
      <c r="L603">
        <v>4767282</v>
      </c>
    </row>
    <row r="604" spans="1:12" ht="15" customHeight="1" x14ac:dyDescent="0.2">
      <c r="A604">
        <v>0</v>
      </c>
      <c r="B604" t="s">
        <v>173</v>
      </c>
      <c r="C604" t="s">
        <v>12</v>
      </c>
      <c r="D604">
        <v>4017</v>
      </c>
      <c r="E604" t="s">
        <v>29</v>
      </c>
      <c r="F604">
        <v>0</v>
      </c>
      <c r="G604">
        <v>20200803</v>
      </c>
      <c r="H604" t="s">
        <v>173</v>
      </c>
      <c r="I604">
        <v>70</v>
      </c>
      <c r="J604" s="61" t="s">
        <v>172</v>
      </c>
      <c r="K604">
        <v>1</v>
      </c>
      <c r="L604">
        <v>5490000</v>
      </c>
    </row>
    <row r="605" spans="1:12" ht="15" customHeight="1" x14ac:dyDescent="0.2">
      <c r="A605">
        <v>0</v>
      </c>
      <c r="B605" t="s">
        <v>190</v>
      </c>
      <c r="C605" t="s">
        <v>12</v>
      </c>
      <c r="D605">
        <v>4017</v>
      </c>
      <c r="E605" t="s">
        <v>29</v>
      </c>
      <c r="F605">
        <v>0</v>
      </c>
      <c r="G605">
        <v>20200804</v>
      </c>
      <c r="H605" t="s">
        <v>190</v>
      </c>
      <c r="I605">
        <v>318</v>
      </c>
      <c r="J605">
        <v>2961</v>
      </c>
      <c r="K605">
        <v>1</v>
      </c>
      <c r="L605">
        <v>10000000</v>
      </c>
    </row>
    <row r="606" spans="1:12" ht="15" customHeight="1" thickBot="1" x14ac:dyDescent="0.25">
      <c r="A606">
        <v>0</v>
      </c>
      <c r="B606" t="s">
        <v>231</v>
      </c>
      <c r="C606" t="s">
        <v>12</v>
      </c>
      <c r="D606">
        <v>4018</v>
      </c>
      <c r="E606" t="s">
        <v>133</v>
      </c>
      <c r="F606">
        <v>0</v>
      </c>
      <c r="G606">
        <v>20200804</v>
      </c>
      <c r="H606" t="s">
        <v>248</v>
      </c>
      <c r="I606">
        <v>820</v>
      </c>
      <c r="J606" s="61" t="s">
        <v>230</v>
      </c>
      <c r="K606">
        <v>1</v>
      </c>
      <c r="L606">
        <v>28700000</v>
      </c>
    </row>
    <row r="607" spans="1:12" ht="15" customHeight="1" thickBot="1" x14ac:dyDescent="0.3">
      <c r="B607" t="s">
        <v>143</v>
      </c>
      <c r="C607" t="s">
        <v>3</v>
      </c>
      <c r="D607" t="s">
        <v>144</v>
      </c>
      <c r="E607" t="s">
        <v>145</v>
      </c>
      <c r="G607" t="s">
        <v>4</v>
      </c>
      <c r="H607" t="s">
        <v>147</v>
      </c>
      <c r="I607" t="s">
        <v>148</v>
      </c>
      <c r="J607" t="s">
        <v>5</v>
      </c>
      <c r="L607" s="62">
        <v>196886222.16</v>
      </c>
    </row>
  </sheetData>
  <autoFilter ref="A2:J39" xr:uid="{00000000-0009-0000-0000-000000000000}"/>
  <mergeCells count="1">
    <mergeCell ref="A1:J1"/>
  </mergeCells>
  <pageMargins left="0.82677165354330717" right="3.937007874015748E-2" top="0.74803149606299213" bottom="0.35433070866141736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38"/>
  <sheetViews>
    <sheetView showGridLines="0" workbookViewId="0">
      <pane ySplit="1" topLeftCell="A11" activePane="bottomLeft" state="frozen"/>
      <selection pane="bottomLeft" activeCell="G43" sqref="G43"/>
    </sheetView>
  </sheetViews>
  <sheetFormatPr baseColWidth="10" defaultColWidth="12.625" defaultRowHeight="15" customHeight="1" x14ac:dyDescent="0.2"/>
  <cols>
    <col min="1" max="1" width="12.25" customWidth="1"/>
    <col min="3" max="3" width="10" customWidth="1"/>
    <col min="4" max="4" width="13.25" customWidth="1"/>
    <col min="5" max="5" width="12.125" customWidth="1"/>
    <col min="6" max="6" width="10" customWidth="1"/>
    <col min="7" max="7" width="16.875" customWidth="1"/>
    <col min="8" max="8" width="37.375" customWidth="1"/>
    <col min="9" max="9" width="43.875" customWidth="1"/>
    <col min="10" max="10" width="14.75" customWidth="1"/>
    <col min="11" max="11" width="14.125" customWidth="1"/>
    <col min="12" max="26" width="9.375" customWidth="1"/>
  </cols>
  <sheetData>
    <row r="1" spans="1:26" ht="18.75" x14ac:dyDescent="0.3">
      <c r="A1" s="103" t="s">
        <v>47</v>
      </c>
      <c r="B1" s="101"/>
      <c r="C1" s="101"/>
      <c r="D1" s="101"/>
      <c r="E1" s="101"/>
      <c r="F1" s="101"/>
      <c r="G1" s="101"/>
      <c r="H1" s="101"/>
      <c r="I1" s="101"/>
      <c r="J1" s="101"/>
      <c r="K1" s="10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" x14ac:dyDescent="0.25">
      <c r="A2" s="21" t="s">
        <v>48</v>
      </c>
      <c r="B2" s="3" t="s">
        <v>1</v>
      </c>
      <c r="C2" s="3" t="s">
        <v>2</v>
      </c>
      <c r="D2" s="3" t="s">
        <v>49</v>
      </c>
      <c r="E2" s="3" t="s">
        <v>4</v>
      </c>
      <c r="F2" s="3" t="s">
        <v>50</v>
      </c>
      <c r="G2" s="3" t="s">
        <v>5</v>
      </c>
      <c r="H2" s="3" t="s">
        <v>51</v>
      </c>
      <c r="I2" s="3" t="s">
        <v>8</v>
      </c>
      <c r="J2" s="4" t="s">
        <v>10</v>
      </c>
      <c r="K2" s="22" t="s">
        <v>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x14ac:dyDescent="0.25">
      <c r="A3" s="23">
        <v>111005100012</v>
      </c>
      <c r="B3" s="5">
        <v>7</v>
      </c>
      <c r="C3" s="5" t="s">
        <v>11</v>
      </c>
      <c r="D3" s="5" t="s">
        <v>12</v>
      </c>
      <c r="E3" s="6">
        <v>44043</v>
      </c>
      <c r="F3" s="5"/>
      <c r="G3" s="5" t="s">
        <v>52</v>
      </c>
      <c r="H3" s="5"/>
      <c r="I3" s="24" t="s">
        <v>53</v>
      </c>
      <c r="J3" s="25">
        <v>0</v>
      </c>
      <c r="K3" s="25">
        <v>217.53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x14ac:dyDescent="0.25">
      <c r="A4" s="23">
        <v>111005100012</v>
      </c>
      <c r="B4" s="5">
        <v>7</v>
      </c>
      <c r="C4" s="5" t="s">
        <v>11</v>
      </c>
      <c r="D4" s="5" t="s">
        <v>12</v>
      </c>
      <c r="E4" s="6">
        <v>44043</v>
      </c>
      <c r="F4" s="5"/>
      <c r="G4" s="5" t="s">
        <v>52</v>
      </c>
      <c r="H4" s="5"/>
      <c r="I4" s="24" t="s">
        <v>54</v>
      </c>
      <c r="J4" s="25">
        <v>0</v>
      </c>
      <c r="K4" s="25">
        <v>1057.8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x14ac:dyDescent="0.25">
      <c r="A5" s="23">
        <v>111005100012</v>
      </c>
      <c r="B5" s="5">
        <v>7</v>
      </c>
      <c r="C5" s="5" t="s">
        <v>11</v>
      </c>
      <c r="D5" s="5" t="s">
        <v>12</v>
      </c>
      <c r="E5" s="10">
        <v>44043</v>
      </c>
      <c r="F5" s="5"/>
      <c r="G5" s="5" t="s">
        <v>52</v>
      </c>
      <c r="H5" s="5"/>
      <c r="I5" s="24" t="s">
        <v>55</v>
      </c>
      <c r="J5" s="25">
        <v>0</v>
      </c>
      <c r="K5" s="26">
        <v>1339.5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x14ac:dyDescent="0.25">
      <c r="A6" s="23">
        <v>111005100012</v>
      </c>
      <c r="B6" s="5">
        <v>7</v>
      </c>
      <c r="C6" s="5" t="s">
        <v>11</v>
      </c>
      <c r="D6" s="5" t="s">
        <v>12</v>
      </c>
      <c r="E6" s="10">
        <v>44043</v>
      </c>
      <c r="F6" s="5"/>
      <c r="G6" s="5" t="s">
        <v>52</v>
      </c>
      <c r="H6" s="5"/>
      <c r="I6" s="24" t="s">
        <v>56</v>
      </c>
      <c r="J6" s="25">
        <v>0</v>
      </c>
      <c r="K6" s="25">
        <v>6764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x14ac:dyDescent="0.25">
      <c r="A7" s="23">
        <v>111005100012</v>
      </c>
      <c r="B7" s="5">
        <v>7</v>
      </c>
      <c r="C7" s="5" t="s">
        <v>11</v>
      </c>
      <c r="D7" s="5" t="s">
        <v>12</v>
      </c>
      <c r="E7" s="10">
        <v>44043</v>
      </c>
      <c r="F7" s="5"/>
      <c r="G7" s="5" t="s">
        <v>52</v>
      </c>
      <c r="H7" s="5"/>
      <c r="I7" s="24" t="s">
        <v>56</v>
      </c>
      <c r="J7" s="25">
        <v>0</v>
      </c>
      <c r="K7" s="25">
        <v>8455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x14ac:dyDescent="0.25">
      <c r="A8" s="23">
        <v>111005100012</v>
      </c>
      <c r="B8" s="5">
        <v>7</v>
      </c>
      <c r="C8" s="5" t="s">
        <v>11</v>
      </c>
      <c r="D8" s="5" t="s">
        <v>12</v>
      </c>
      <c r="E8" s="10">
        <v>44043</v>
      </c>
      <c r="F8" s="5"/>
      <c r="G8" s="5" t="s">
        <v>52</v>
      </c>
      <c r="H8" s="5"/>
      <c r="I8" s="24" t="s">
        <v>55</v>
      </c>
      <c r="J8" s="25">
        <v>0</v>
      </c>
      <c r="K8" s="25">
        <v>10716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x14ac:dyDescent="0.25">
      <c r="A9" s="23">
        <v>111005100012</v>
      </c>
      <c r="B9" s="5">
        <v>7</v>
      </c>
      <c r="C9" s="5" t="s">
        <v>11</v>
      </c>
      <c r="D9" s="5" t="s">
        <v>12</v>
      </c>
      <c r="E9" s="10">
        <v>44043</v>
      </c>
      <c r="F9" s="5"/>
      <c r="G9" s="5" t="s">
        <v>52</v>
      </c>
      <c r="H9" s="5"/>
      <c r="I9" s="24" t="s">
        <v>57</v>
      </c>
      <c r="J9" s="25">
        <v>0</v>
      </c>
      <c r="K9" s="25">
        <v>14730.43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23">
        <v>111005100025</v>
      </c>
      <c r="B10" s="5">
        <v>7</v>
      </c>
      <c r="C10" s="5" t="s">
        <v>11</v>
      </c>
      <c r="D10" s="5" t="s">
        <v>20</v>
      </c>
      <c r="E10" s="10">
        <v>44043</v>
      </c>
      <c r="F10" s="5"/>
      <c r="G10" s="5" t="s">
        <v>58</v>
      </c>
      <c r="H10" s="5"/>
      <c r="I10" s="24" t="s">
        <v>59</v>
      </c>
      <c r="J10" s="25">
        <v>280000</v>
      </c>
      <c r="K10" s="25"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23">
        <v>111005100025</v>
      </c>
      <c r="B11" s="5">
        <v>7</v>
      </c>
      <c r="C11" s="5" t="s">
        <v>11</v>
      </c>
      <c r="D11" s="5" t="s">
        <v>20</v>
      </c>
      <c r="E11" s="10">
        <v>44043</v>
      </c>
      <c r="F11" s="5"/>
      <c r="G11" s="5" t="s">
        <v>58</v>
      </c>
      <c r="H11" s="5"/>
      <c r="I11" s="24" t="s">
        <v>59</v>
      </c>
      <c r="J11" s="25">
        <v>640056</v>
      </c>
      <c r="K11" s="25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x14ac:dyDescent="0.25">
      <c r="A12" s="23">
        <v>111005100025</v>
      </c>
      <c r="B12" s="5">
        <v>7</v>
      </c>
      <c r="C12" s="5" t="s">
        <v>11</v>
      </c>
      <c r="D12" s="5" t="s">
        <v>20</v>
      </c>
      <c r="E12" s="10">
        <v>44043</v>
      </c>
      <c r="F12" s="5"/>
      <c r="G12" s="5" t="s">
        <v>25</v>
      </c>
      <c r="H12" s="5"/>
      <c r="I12" s="24" t="s">
        <v>60</v>
      </c>
      <c r="J12" s="25">
        <v>1500000</v>
      </c>
      <c r="K12" s="25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23">
        <v>111005100025</v>
      </c>
      <c r="B13" s="5">
        <v>7</v>
      </c>
      <c r="C13" s="5" t="s">
        <v>11</v>
      </c>
      <c r="D13" s="5" t="s">
        <v>20</v>
      </c>
      <c r="E13" s="10">
        <v>44043</v>
      </c>
      <c r="F13" s="5"/>
      <c r="G13" s="5" t="s">
        <v>58</v>
      </c>
      <c r="H13" s="5"/>
      <c r="I13" s="24" t="s">
        <v>59</v>
      </c>
      <c r="J13" s="25">
        <v>2000000</v>
      </c>
      <c r="K13" s="25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23">
        <v>111005100025</v>
      </c>
      <c r="B14" s="5">
        <v>7</v>
      </c>
      <c r="C14" s="5" t="s">
        <v>11</v>
      </c>
      <c r="D14" s="5" t="s">
        <v>20</v>
      </c>
      <c r="E14" s="10">
        <v>44043</v>
      </c>
      <c r="F14" s="5"/>
      <c r="G14" s="5" t="s">
        <v>61</v>
      </c>
      <c r="H14" s="5"/>
      <c r="I14" s="24" t="s">
        <v>62</v>
      </c>
      <c r="J14" s="25">
        <v>2623865</v>
      </c>
      <c r="K14" s="25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23">
        <v>111005100025</v>
      </c>
      <c r="B15" s="5">
        <v>7</v>
      </c>
      <c r="C15" s="5" t="s">
        <v>11</v>
      </c>
      <c r="D15" s="5" t="s">
        <v>20</v>
      </c>
      <c r="E15" s="10">
        <v>44043</v>
      </c>
      <c r="F15" s="5"/>
      <c r="G15" s="5" t="s">
        <v>28</v>
      </c>
      <c r="H15" s="5"/>
      <c r="I15" s="24" t="s">
        <v>63</v>
      </c>
      <c r="J15" s="25">
        <v>2785000</v>
      </c>
      <c r="K15" s="25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23">
        <v>111005100025</v>
      </c>
      <c r="B16" s="5">
        <v>7</v>
      </c>
      <c r="C16" s="5" t="s">
        <v>11</v>
      </c>
      <c r="D16" s="5" t="s">
        <v>20</v>
      </c>
      <c r="E16" s="10">
        <v>44043</v>
      </c>
      <c r="F16" s="5"/>
      <c r="G16" s="5" t="s">
        <v>30</v>
      </c>
      <c r="H16" s="5"/>
      <c r="I16" s="24" t="s">
        <v>59</v>
      </c>
      <c r="J16" s="25">
        <v>5500000</v>
      </c>
      <c r="K16" s="25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23">
        <v>111005100025</v>
      </c>
      <c r="B17" s="5">
        <v>7</v>
      </c>
      <c r="C17" s="5" t="s">
        <v>11</v>
      </c>
      <c r="D17" s="5" t="s">
        <v>20</v>
      </c>
      <c r="E17" s="10">
        <v>44043</v>
      </c>
      <c r="F17" s="5"/>
      <c r="G17" s="5" t="s">
        <v>31</v>
      </c>
      <c r="H17" s="5"/>
      <c r="I17" s="24" t="s">
        <v>59</v>
      </c>
      <c r="J17" s="25">
        <v>5600000</v>
      </c>
      <c r="K17" s="25">
        <v>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23">
        <v>111005100025</v>
      </c>
      <c r="B18" s="5">
        <v>7</v>
      </c>
      <c r="C18" s="5" t="s">
        <v>11</v>
      </c>
      <c r="D18" s="5" t="s">
        <v>20</v>
      </c>
      <c r="E18" s="10">
        <v>44043</v>
      </c>
      <c r="F18" s="5"/>
      <c r="G18" s="5" t="s">
        <v>58</v>
      </c>
      <c r="H18" s="5"/>
      <c r="I18" s="24" t="s">
        <v>59</v>
      </c>
      <c r="J18" s="25">
        <v>9000000</v>
      </c>
      <c r="K18" s="25"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23">
        <v>111005100025</v>
      </c>
      <c r="B19" s="5">
        <v>7</v>
      </c>
      <c r="C19" s="5" t="s">
        <v>11</v>
      </c>
      <c r="D19" s="5" t="s">
        <v>20</v>
      </c>
      <c r="E19" s="10">
        <v>44043</v>
      </c>
      <c r="F19" s="5"/>
      <c r="G19" s="5" t="s">
        <v>58</v>
      </c>
      <c r="H19" s="5"/>
      <c r="I19" s="7" t="s">
        <v>59</v>
      </c>
      <c r="J19" s="25">
        <v>13820806</v>
      </c>
      <c r="K19" s="25">
        <v>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x14ac:dyDescent="0.25">
      <c r="A20" s="23">
        <v>111005100025</v>
      </c>
      <c r="B20" s="5">
        <v>7</v>
      </c>
      <c r="C20" s="5" t="s">
        <v>11</v>
      </c>
      <c r="D20" s="5" t="s">
        <v>20</v>
      </c>
      <c r="E20" s="10">
        <v>44043</v>
      </c>
      <c r="F20" s="5"/>
      <c r="G20" s="5" t="s">
        <v>36</v>
      </c>
      <c r="H20" s="5"/>
      <c r="I20" s="7" t="s">
        <v>64</v>
      </c>
      <c r="J20" s="25">
        <v>20000000</v>
      </c>
      <c r="K20" s="25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3">
        <v>111005100025</v>
      </c>
      <c r="B21" s="5">
        <v>7</v>
      </c>
      <c r="C21" s="5" t="s">
        <v>11</v>
      </c>
      <c r="D21" s="5" t="s">
        <v>20</v>
      </c>
      <c r="E21" s="10">
        <v>44042</v>
      </c>
      <c r="F21" s="5"/>
      <c r="G21" s="5" t="s">
        <v>52</v>
      </c>
      <c r="H21" s="5"/>
      <c r="I21" s="7" t="s">
        <v>65</v>
      </c>
      <c r="J21" s="25">
        <v>22177133</v>
      </c>
      <c r="K21" s="25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3">
        <v>111005100025</v>
      </c>
      <c r="B22" s="5">
        <v>7</v>
      </c>
      <c r="C22" s="5" t="s">
        <v>11</v>
      </c>
      <c r="D22" s="5" t="s">
        <v>20</v>
      </c>
      <c r="E22" s="10">
        <v>44043</v>
      </c>
      <c r="F22" s="5"/>
      <c r="G22" s="5" t="s">
        <v>37</v>
      </c>
      <c r="H22" s="5"/>
      <c r="I22" s="24" t="s">
        <v>59</v>
      </c>
      <c r="J22" s="25">
        <v>22177133</v>
      </c>
      <c r="K22" s="25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3">
        <v>111005100025</v>
      </c>
      <c r="B23" s="5">
        <v>7</v>
      </c>
      <c r="C23" s="5" t="s">
        <v>11</v>
      </c>
      <c r="D23" s="5" t="s">
        <v>20</v>
      </c>
      <c r="E23" s="10">
        <v>44043</v>
      </c>
      <c r="F23" s="5"/>
      <c r="G23" s="5" t="s">
        <v>52</v>
      </c>
      <c r="H23" s="5"/>
      <c r="I23" s="24" t="s">
        <v>65</v>
      </c>
      <c r="J23" s="25">
        <v>59883292</v>
      </c>
      <c r="K23" s="25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3">
        <v>111005100025</v>
      </c>
      <c r="B24" s="5">
        <v>7</v>
      </c>
      <c r="C24" s="5" t="s">
        <v>11</v>
      </c>
      <c r="D24" s="5" t="s">
        <v>20</v>
      </c>
      <c r="E24" s="10">
        <v>44043</v>
      </c>
      <c r="F24" s="5"/>
      <c r="G24" s="5" t="s">
        <v>66</v>
      </c>
      <c r="H24" s="5"/>
      <c r="I24" s="24" t="s">
        <v>67</v>
      </c>
      <c r="J24" s="25">
        <v>260000000</v>
      </c>
      <c r="K24" s="25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3">
        <v>111005100025</v>
      </c>
      <c r="B25" s="5">
        <v>7</v>
      </c>
      <c r="C25" s="5" t="s">
        <v>11</v>
      </c>
      <c r="D25" s="5" t="s">
        <v>20</v>
      </c>
      <c r="E25" s="10">
        <v>44042</v>
      </c>
      <c r="F25" s="5"/>
      <c r="G25" s="5" t="s">
        <v>52</v>
      </c>
      <c r="H25" s="5"/>
      <c r="I25" s="24" t="s">
        <v>68</v>
      </c>
      <c r="J25" s="25">
        <v>0</v>
      </c>
      <c r="K25" s="25">
        <v>50.93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3">
        <v>111005100025</v>
      </c>
      <c r="B26" s="5">
        <v>7</v>
      </c>
      <c r="C26" s="5" t="s">
        <v>11</v>
      </c>
      <c r="D26" s="5" t="s">
        <v>20</v>
      </c>
      <c r="E26" s="10">
        <v>44043</v>
      </c>
      <c r="F26" s="5"/>
      <c r="G26" s="5" t="s">
        <v>52</v>
      </c>
      <c r="H26" s="5"/>
      <c r="I26" s="24" t="s">
        <v>68</v>
      </c>
      <c r="J26" s="25">
        <v>0</v>
      </c>
      <c r="K26" s="25">
        <v>118.76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3">
        <v>111005100025</v>
      </c>
      <c r="B27" s="5">
        <v>7</v>
      </c>
      <c r="C27" s="5" t="s">
        <v>11</v>
      </c>
      <c r="D27" s="5" t="s">
        <v>20</v>
      </c>
      <c r="E27" s="10">
        <v>44043</v>
      </c>
      <c r="F27" s="5"/>
      <c r="G27" s="5" t="s">
        <v>52</v>
      </c>
      <c r="H27" s="5"/>
      <c r="I27" s="24" t="s">
        <v>69</v>
      </c>
      <c r="J27" s="25">
        <v>0</v>
      </c>
      <c r="K27" s="14">
        <v>845.5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23">
        <v>111005100025</v>
      </c>
      <c r="B28" s="5">
        <v>7</v>
      </c>
      <c r="C28" s="5" t="s">
        <v>11</v>
      </c>
      <c r="D28" s="5" t="s">
        <v>20</v>
      </c>
      <c r="E28" s="10">
        <v>44043</v>
      </c>
      <c r="F28" s="5"/>
      <c r="G28" s="5" t="s">
        <v>52</v>
      </c>
      <c r="H28" s="5"/>
      <c r="I28" s="24" t="s">
        <v>69</v>
      </c>
      <c r="J28" s="25">
        <v>0</v>
      </c>
      <c r="K28" s="25">
        <v>845.5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23">
        <v>111005100025</v>
      </c>
      <c r="B29" s="5">
        <v>7</v>
      </c>
      <c r="C29" s="5" t="s">
        <v>11</v>
      </c>
      <c r="D29" s="5" t="s">
        <v>20</v>
      </c>
      <c r="E29" s="10">
        <v>44042</v>
      </c>
      <c r="F29" s="5"/>
      <c r="G29" s="5" t="s">
        <v>52</v>
      </c>
      <c r="H29" s="5"/>
      <c r="I29" s="24" t="s">
        <v>69</v>
      </c>
      <c r="J29" s="25">
        <v>0</v>
      </c>
      <c r="K29" s="25">
        <v>2033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23">
        <v>111005100025</v>
      </c>
      <c r="B30" s="5">
        <v>7</v>
      </c>
      <c r="C30" s="5" t="s">
        <v>11</v>
      </c>
      <c r="D30" s="5" t="s">
        <v>20</v>
      </c>
      <c r="E30" s="10">
        <v>44043</v>
      </c>
      <c r="F30" s="5"/>
      <c r="G30" s="5" t="s">
        <v>52</v>
      </c>
      <c r="H30" s="5"/>
      <c r="I30" s="24" t="s">
        <v>69</v>
      </c>
      <c r="J30" s="25">
        <v>0</v>
      </c>
      <c r="K30" s="25">
        <v>3049.5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23">
        <v>111005100025</v>
      </c>
      <c r="B31" s="5">
        <v>7</v>
      </c>
      <c r="C31" s="5" t="s">
        <v>11</v>
      </c>
      <c r="D31" s="5" t="s">
        <v>20</v>
      </c>
      <c r="E31" s="10">
        <v>44043</v>
      </c>
      <c r="F31" s="5"/>
      <c r="G31" s="5" t="s">
        <v>52</v>
      </c>
      <c r="H31" s="5"/>
      <c r="I31" s="24" t="s">
        <v>70</v>
      </c>
      <c r="J31" s="25">
        <v>0</v>
      </c>
      <c r="K31" s="25">
        <v>4450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23">
        <v>111005100025</v>
      </c>
      <c r="B32" s="5">
        <v>7</v>
      </c>
      <c r="C32" s="5" t="s">
        <v>11</v>
      </c>
      <c r="D32" s="5" t="s">
        <v>20</v>
      </c>
      <c r="E32" s="10">
        <v>44043</v>
      </c>
      <c r="F32" s="5"/>
      <c r="G32" s="5" t="s">
        <v>52</v>
      </c>
      <c r="H32" s="5"/>
      <c r="I32" s="24" t="s">
        <v>70</v>
      </c>
      <c r="J32" s="25">
        <v>0</v>
      </c>
      <c r="K32" s="25">
        <v>4450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23">
        <v>111005100025</v>
      </c>
      <c r="B33" s="5">
        <v>7</v>
      </c>
      <c r="C33" s="5" t="s">
        <v>11</v>
      </c>
      <c r="D33" s="5" t="s">
        <v>20</v>
      </c>
      <c r="E33" s="10">
        <v>44042</v>
      </c>
      <c r="F33" s="5"/>
      <c r="G33" s="5" t="s">
        <v>52</v>
      </c>
      <c r="H33" s="5"/>
      <c r="I33" s="24" t="s">
        <v>71</v>
      </c>
      <c r="J33" s="25">
        <v>0</v>
      </c>
      <c r="K33" s="25">
        <v>10700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23">
        <v>111005100025</v>
      </c>
      <c r="B34" s="5">
        <v>7</v>
      </c>
      <c r="C34" s="5" t="s">
        <v>11</v>
      </c>
      <c r="D34" s="5" t="s">
        <v>20</v>
      </c>
      <c r="E34" s="10">
        <v>44043</v>
      </c>
      <c r="F34" s="5"/>
      <c r="G34" s="5" t="s">
        <v>52</v>
      </c>
      <c r="H34" s="5"/>
      <c r="I34" s="24" t="s">
        <v>71</v>
      </c>
      <c r="J34" s="25">
        <v>0</v>
      </c>
      <c r="K34" s="25">
        <v>16050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27">
        <v>111005100003</v>
      </c>
      <c r="B35" s="15">
        <v>23</v>
      </c>
      <c r="C35" s="15" t="s">
        <v>11</v>
      </c>
      <c r="D35" s="15">
        <v>242057271</v>
      </c>
      <c r="E35" s="28">
        <v>44043</v>
      </c>
      <c r="F35" s="15"/>
      <c r="G35" s="29"/>
      <c r="H35" s="29"/>
      <c r="I35" s="30" t="s">
        <v>44</v>
      </c>
      <c r="J35" s="25">
        <v>0</v>
      </c>
      <c r="K35" s="25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27">
        <v>1110005100024</v>
      </c>
      <c r="B36" s="15">
        <v>23</v>
      </c>
      <c r="C36" s="15" t="s">
        <v>11</v>
      </c>
      <c r="D36" s="15">
        <v>265056630</v>
      </c>
      <c r="E36" s="28">
        <v>44043</v>
      </c>
      <c r="F36" s="15"/>
      <c r="G36" s="29"/>
      <c r="H36" s="29"/>
      <c r="I36" s="30" t="s">
        <v>44</v>
      </c>
      <c r="J36" s="25">
        <v>0</v>
      </c>
      <c r="K36" s="25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27"/>
      <c r="B37" s="15"/>
      <c r="C37" s="15"/>
      <c r="D37" s="15"/>
      <c r="E37" s="10"/>
      <c r="F37" s="15"/>
      <c r="G37" s="29"/>
      <c r="H37" s="29"/>
      <c r="I37" s="30"/>
      <c r="J37" s="25"/>
      <c r="K37" s="2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31" t="s">
        <v>46</v>
      </c>
      <c r="B38" s="32"/>
      <c r="C38" s="32"/>
      <c r="D38" s="32"/>
      <c r="E38" s="32"/>
      <c r="F38" s="32"/>
      <c r="G38" s="32"/>
      <c r="H38" s="32"/>
      <c r="I38" s="32"/>
      <c r="J38" s="33">
        <f>SUM(J3:J37)</f>
        <v>427987285</v>
      </c>
      <c r="K38" s="33">
        <f>SUM(K3:K37)</f>
        <v>85873.450000000012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</sheetData>
  <autoFilter ref="A2:K2" xr:uid="{00000000-0009-0000-0000-000001000000}"/>
  <mergeCells count="1">
    <mergeCell ref="A1:K1"/>
  </mergeCells>
  <printOptions horizontalCentered="1"/>
  <pageMargins left="0.78740157480314965" right="0.19685039370078741" top="0.74803149606299213" bottom="0.55118110236220474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4"/>
  <sheetViews>
    <sheetView tabSelected="1" topLeftCell="A13" workbookViewId="0">
      <selection activeCell="C21" sqref="C21"/>
    </sheetView>
  </sheetViews>
  <sheetFormatPr baseColWidth="10" defaultColWidth="12.625" defaultRowHeight="15" customHeight="1" x14ac:dyDescent="0.2"/>
  <cols>
    <col min="1" max="1" width="30" bestFit="1" customWidth="1"/>
    <col min="2" max="2" width="13.5" customWidth="1"/>
    <col min="3" max="3" width="14.625" bestFit="1" customWidth="1"/>
    <col min="4" max="4" width="16.25" bestFit="1" customWidth="1"/>
    <col min="5" max="5" width="13.625" bestFit="1" customWidth="1"/>
    <col min="6" max="6" width="14.625" bestFit="1" customWidth="1"/>
    <col min="7" max="7" width="15.75" customWidth="1"/>
    <col min="8" max="8" width="14.625" bestFit="1" customWidth="1"/>
    <col min="9" max="9" width="38.875" bestFit="1" customWidth="1"/>
    <col min="10" max="26" width="9.375" customWidth="1"/>
  </cols>
  <sheetData>
    <row r="1" spans="1:7" ht="15.75" thickBot="1" x14ac:dyDescent="0.3">
      <c r="A1" s="34"/>
      <c r="B1" s="34"/>
      <c r="C1" s="35" t="s">
        <v>72</v>
      </c>
      <c r="D1" s="35" t="s">
        <v>72</v>
      </c>
      <c r="E1" s="35" t="s">
        <v>73</v>
      </c>
      <c r="F1" s="106" t="s">
        <v>73</v>
      </c>
      <c r="G1" s="114" t="s">
        <v>254</v>
      </c>
    </row>
    <row r="2" spans="1:7" ht="19.5" thickBot="1" x14ac:dyDescent="0.35">
      <c r="A2" s="66" t="s">
        <v>74</v>
      </c>
      <c r="B2" s="37" t="s">
        <v>75</v>
      </c>
      <c r="C2" s="67" t="s">
        <v>12</v>
      </c>
      <c r="D2" s="67" t="s">
        <v>20</v>
      </c>
      <c r="E2" s="67">
        <v>242057271</v>
      </c>
      <c r="F2" s="107">
        <v>265056630</v>
      </c>
      <c r="G2" s="115"/>
    </row>
    <row r="3" spans="1:7" ht="15.75" thickBot="1" x14ac:dyDescent="0.3">
      <c r="A3" s="38"/>
      <c r="B3" s="38"/>
      <c r="C3" s="69">
        <v>111005100012</v>
      </c>
      <c r="D3" s="69">
        <v>111005100025</v>
      </c>
      <c r="E3" s="69">
        <v>111005100003</v>
      </c>
      <c r="F3" s="108">
        <v>111005100024</v>
      </c>
      <c r="G3" s="115"/>
    </row>
    <row r="4" spans="1:7" ht="15.75" thickBot="1" x14ac:dyDescent="0.3">
      <c r="A4" s="35" t="s">
        <v>76</v>
      </c>
      <c r="B4" s="35" t="s">
        <v>77</v>
      </c>
      <c r="C4" s="73">
        <v>592946398.29999995</v>
      </c>
      <c r="D4" s="73">
        <v>696749512.90999997</v>
      </c>
      <c r="E4" s="73">
        <v>2965931.64</v>
      </c>
      <c r="F4" s="109">
        <v>904945.32</v>
      </c>
      <c r="G4" s="115"/>
    </row>
    <row r="5" spans="1:7" x14ac:dyDescent="0.25">
      <c r="A5" s="41" t="s">
        <v>78</v>
      </c>
      <c r="B5" s="41" t="s">
        <v>79</v>
      </c>
      <c r="C5" s="42">
        <v>0</v>
      </c>
      <c r="D5" s="43">
        <f>SUM('PENDIENTES LIBROS'!J10:J34)</f>
        <v>427987285</v>
      </c>
      <c r="E5" s="43">
        <f>SUM('PENDIENTES LIBROS'!J35)</f>
        <v>0</v>
      </c>
      <c r="F5" s="110">
        <f>SUM('PENDIENTES LIBROS'!J36)</f>
        <v>0</v>
      </c>
      <c r="G5" s="115"/>
    </row>
    <row r="6" spans="1:7" x14ac:dyDescent="0.25">
      <c r="A6" s="44" t="s">
        <v>80</v>
      </c>
      <c r="B6" s="44" t="s">
        <v>79</v>
      </c>
      <c r="C6" s="45">
        <f>SUM('PENDIENTES EXTRACTO'!I3:I10)</f>
        <v>0</v>
      </c>
      <c r="D6" s="45">
        <f>SUM('PENDIENTES EXTRACTO'!I11:I33)</f>
        <v>343926860</v>
      </c>
      <c r="E6" s="45">
        <f>SUM('PENDIENTES EXTRACTO'!I34:I35)</f>
        <v>0</v>
      </c>
      <c r="F6" s="111">
        <f>SUM('PENDIENTES EXTRACTO'!J36)</f>
        <v>0</v>
      </c>
      <c r="G6" s="115"/>
    </row>
    <row r="7" spans="1:7" x14ac:dyDescent="0.25">
      <c r="A7" s="44" t="s">
        <v>81</v>
      </c>
      <c r="B7" s="44" t="s">
        <v>79</v>
      </c>
      <c r="C7" s="45">
        <f>SUM('PENDIENTES EXTRACTO'!J3:J10)</f>
        <v>190688.26</v>
      </c>
      <c r="D7" s="45">
        <f>SUM('PENDIENTES EXTRACTO'!J11:J33)</f>
        <v>79647626.189999998</v>
      </c>
      <c r="E7" s="45">
        <f>SUM('PENDIENTES EXTRACTO'!J34:J35)</f>
        <v>469000</v>
      </c>
      <c r="F7" s="111">
        <f>SUM('PENDIENTES EXTRACTO'!I36)</f>
        <v>0</v>
      </c>
      <c r="G7" s="115"/>
    </row>
    <row r="8" spans="1:7" x14ac:dyDescent="0.25">
      <c r="A8" s="44" t="s">
        <v>82</v>
      </c>
      <c r="B8" s="44" t="s">
        <v>79</v>
      </c>
      <c r="C8" s="45">
        <f>SUM('PENDIENTES LIBROS'!K3:K9)</f>
        <v>43280.26</v>
      </c>
      <c r="D8" s="45">
        <f>SUM('PENDIENTES LIBROS'!K10:K34)</f>
        <v>42593.19</v>
      </c>
      <c r="E8" s="45">
        <f>SUM('PENDIENTES LIBROS'!K35)</f>
        <v>0</v>
      </c>
      <c r="F8" s="111">
        <f>'PENDIENTES LIBROS'!K36</f>
        <v>0</v>
      </c>
      <c r="G8" s="115"/>
    </row>
    <row r="9" spans="1:7" ht="15.75" thickBot="1" x14ac:dyDescent="0.3">
      <c r="A9" s="46" t="s">
        <v>83</v>
      </c>
      <c r="B9" s="46" t="s">
        <v>84</v>
      </c>
      <c r="C9" s="47">
        <f t="shared" ref="C9:F9" si="0">+C4+C5-C6+C7-C8</f>
        <v>593093806.29999995</v>
      </c>
      <c r="D9" s="47">
        <f t="shared" si="0"/>
        <v>860414970.90999985</v>
      </c>
      <c r="E9" s="47">
        <f t="shared" si="0"/>
        <v>3434931.64</v>
      </c>
      <c r="F9" s="112">
        <f t="shared" si="0"/>
        <v>904945.32</v>
      </c>
      <c r="G9" s="115"/>
    </row>
    <row r="10" spans="1:7" ht="15.75" thickBot="1" x14ac:dyDescent="0.3">
      <c r="A10" s="35" t="s">
        <v>85</v>
      </c>
      <c r="B10" s="35" t="s">
        <v>77</v>
      </c>
      <c r="C10" s="73">
        <v>593093806.29999995</v>
      </c>
      <c r="D10" s="73">
        <v>860414970.90999997</v>
      </c>
      <c r="E10" s="73">
        <v>3434931.64</v>
      </c>
      <c r="F10" s="109">
        <v>904945.32</v>
      </c>
      <c r="G10" s="115"/>
    </row>
    <row r="11" spans="1:7" ht="15.75" thickBot="1" x14ac:dyDescent="0.3">
      <c r="A11" s="85" t="s">
        <v>86</v>
      </c>
      <c r="B11" s="85" t="s">
        <v>87</v>
      </c>
      <c r="C11" s="86">
        <f t="shared" ref="C11:F11" si="1">+C9-C10</f>
        <v>0</v>
      </c>
      <c r="D11" s="86">
        <f t="shared" si="1"/>
        <v>0</v>
      </c>
      <c r="E11" s="86">
        <f t="shared" si="1"/>
        <v>0</v>
      </c>
      <c r="F11" s="113">
        <f t="shared" si="1"/>
        <v>0</v>
      </c>
      <c r="G11" s="115"/>
    </row>
    <row r="12" spans="1:7" ht="15.75" thickBot="1" x14ac:dyDescent="0.3">
      <c r="A12" s="48"/>
      <c r="B12" s="48"/>
      <c r="C12" s="48"/>
      <c r="D12" s="48"/>
      <c r="E12" s="48"/>
      <c r="F12" s="32"/>
      <c r="G12" s="116"/>
    </row>
    <row r="13" spans="1:7" ht="15.75" thickBot="1" x14ac:dyDescent="0.3">
      <c r="A13" s="105"/>
      <c r="B13" s="105"/>
      <c r="C13" s="105"/>
      <c r="D13" s="105"/>
      <c r="E13" s="105"/>
      <c r="F13" s="105"/>
    </row>
    <row r="14" spans="1:7" ht="15.75" thickBot="1" x14ac:dyDescent="0.3">
      <c r="A14" s="34"/>
      <c r="B14" s="34"/>
      <c r="C14" s="35" t="s">
        <v>72</v>
      </c>
      <c r="D14" s="35" t="s">
        <v>72</v>
      </c>
      <c r="E14" s="35" t="s">
        <v>73</v>
      </c>
      <c r="F14" s="106" t="s">
        <v>73</v>
      </c>
      <c r="G14" s="117" t="s">
        <v>261</v>
      </c>
    </row>
    <row r="15" spans="1:7" ht="19.5" thickBot="1" x14ac:dyDescent="0.35">
      <c r="A15" s="66" t="s">
        <v>74</v>
      </c>
      <c r="B15" s="37" t="s">
        <v>75</v>
      </c>
      <c r="C15" s="67" t="s">
        <v>12</v>
      </c>
      <c r="D15" s="67" t="s">
        <v>20</v>
      </c>
      <c r="E15" s="67">
        <v>242057271</v>
      </c>
      <c r="F15" s="107">
        <v>265056630</v>
      </c>
      <c r="G15" s="118"/>
    </row>
    <row r="16" spans="1:7" ht="15.75" customHeight="1" thickBot="1" x14ac:dyDescent="0.3">
      <c r="A16" s="38"/>
      <c r="B16" s="38"/>
      <c r="C16" s="69">
        <v>111005100012</v>
      </c>
      <c r="D16" s="69">
        <v>111005100025</v>
      </c>
      <c r="E16" s="69">
        <v>111005100003</v>
      </c>
      <c r="F16" s="108">
        <v>111005100024</v>
      </c>
      <c r="G16" s="118"/>
    </row>
    <row r="17" spans="1:10" ht="15.75" thickBot="1" x14ac:dyDescent="0.3">
      <c r="A17" s="120" t="s">
        <v>76</v>
      </c>
      <c r="B17" s="120" t="s">
        <v>259</v>
      </c>
      <c r="C17" s="121">
        <v>592946398.29999995</v>
      </c>
      <c r="D17" s="121">
        <v>696749512.90999997</v>
      </c>
      <c r="E17" s="121">
        <v>2965931.64</v>
      </c>
      <c r="F17" s="122">
        <v>904945.32</v>
      </c>
      <c r="G17" s="118"/>
    </row>
    <row r="18" spans="1:10" ht="15.75" thickBot="1" x14ac:dyDescent="0.3">
      <c r="A18" s="123" t="s">
        <v>255</v>
      </c>
      <c r="B18" s="124" t="s">
        <v>260</v>
      </c>
      <c r="C18" s="125">
        <f>SUM(C38)</f>
        <v>4878028.9000000004</v>
      </c>
      <c r="D18" s="125">
        <f>SUM(D38)</f>
        <v>5511824.79</v>
      </c>
      <c r="E18" s="125">
        <f t="shared" ref="E18:F18" si="2">SUM(E38)</f>
        <v>66896.56</v>
      </c>
      <c r="F18" s="125">
        <f t="shared" si="2"/>
        <v>16779</v>
      </c>
      <c r="G18" s="118"/>
    </row>
    <row r="19" spans="1:10" ht="15.75" thickBot="1" x14ac:dyDescent="0.3">
      <c r="A19" s="127" t="s">
        <v>80</v>
      </c>
      <c r="B19" s="128" t="s">
        <v>260</v>
      </c>
      <c r="C19" s="125">
        <f>SUM(C37)</f>
        <v>196886222.16</v>
      </c>
      <c r="D19" s="125">
        <f>SUM(D37)</f>
        <v>677715465.53999996</v>
      </c>
      <c r="E19" s="125">
        <f t="shared" ref="E19:F19" si="3">SUM(E37)</f>
        <v>19857781</v>
      </c>
      <c r="F19" s="125">
        <f t="shared" si="3"/>
        <v>529718</v>
      </c>
      <c r="G19" s="118"/>
    </row>
    <row r="20" spans="1:10" ht="15.75" thickBot="1" x14ac:dyDescent="0.3">
      <c r="A20" s="138" t="s">
        <v>256</v>
      </c>
      <c r="B20" s="139" t="s">
        <v>84</v>
      </c>
      <c r="C20" s="140">
        <f>SUM(C17-C18+C19)</f>
        <v>784954591.55999994</v>
      </c>
      <c r="D20" s="140">
        <f t="shared" ref="D20:F20" si="4">SUM(D17-D18+D19)</f>
        <v>1368953153.6599998</v>
      </c>
      <c r="E20" s="140">
        <f t="shared" si="4"/>
        <v>22756816.079999998</v>
      </c>
      <c r="F20" s="142">
        <f t="shared" si="4"/>
        <v>1417884.3199999998</v>
      </c>
      <c r="G20" s="118"/>
    </row>
    <row r="21" spans="1:10" ht="15.75" thickBot="1" x14ac:dyDescent="0.3">
      <c r="A21" s="126" t="s">
        <v>258</v>
      </c>
      <c r="B21" s="38" t="s">
        <v>77</v>
      </c>
      <c r="C21" s="125">
        <v>784954591.55999994</v>
      </c>
      <c r="D21" s="125">
        <v>1368953153.6600001</v>
      </c>
      <c r="E21" s="125">
        <v>22756816.079999998</v>
      </c>
      <c r="F21" s="141">
        <v>1417884.32</v>
      </c>
      <c r="G21" s="118"/>
    </row>
    <row r="22" spans="1:10" ht="15.75" thickBot="1" x14ac:dyDescent="0.3">
      <c r="A22" s="132" t="s">
        <v>86</v>
      </c>
      <c r="B22" s="133" t="s">
        <v>87</v>
      </c>
      <c r="C22" s="134">
        <f>SUM(C20-C21)</f>
        <v>0</v>
      </c>
      <c r="D22" s="134">
        <f t="shared" ref="D22:F22" si="5">SUM(D20-D21)</f>
        <v>-2.384185791015625E-7</v>
      </c>
      <c r="E22" s="134">
        <f t="shared" si="5"/>
        <v>0</v>
      </c>
      <c r="F22" s="143">
        <f t="shared" si="5"/>
        <v>-2.3283064365386963E-10</v>
      </c>
      <c r="G22" s="119"/>
    </row>
    <row r="23" spans="1:10" ht="15.75" thickBot="1" x14ac:dyDescent="0.3">
      <c r="A23" s="129" t="s">
        <v>85</v>
      </c>
      <c r="B23" s="129" t="s">
        <v>259</v>
      </c>
      <c r="C23" s="130">
        <v>593093806.29999995</v>
      </c>
      <c r="D23" s="130">
        <v>860414970.90999997</v>
      </c>
      <c r="E23" s="130">
        <v>3434931.64</v>
      </c>
      <c r="F23" s="131">
        <v>904945.32</v>
      </c>
      <c r="G23" s="117" t="s">
        <v>262</v>
      </c>
    </row>
    <row r="24" spans="1:10" x14ac:dyDescent="0.25">
      <c r="A24" s="41" t="s">
        <v>78</v>
      </c>
      <c r="B24" s="41" t="s">
        <v>79</v>
      </c>
      <c r="C24" s="43">
        <f>SUM(C36)</f>
        <v>195311162.16</v>
      </c>
      <c r="D24" s="43">
        <f t="shared" ref="D24:F24" si="6">SUM(D36)</f>
        <v>771282870</v>
      </c>
      <c r="E24" s="43">
        <f t="shared" si="6"/>
        <v>12374121</v>
      </c>
      <c r="F24" s="43">
        <f t="shared" si="6"/>
        <v>529718</v>
      </c>
      <c r="G24" s="118"/>
    </row>
    <row r="25" spans="1:10" ht="15.75" thickBot="1" x14ac:dyDescent="0.3">
      <c r="A25" s="44" t="s">
        <v>82</v>
      </c>
      <c r="B25" s="44" t="s">
        <v>79</v>
      </c>
      <c r="C25" s="43">
        <f>SUM(C39)</f>
        <v>711171.9</v>
      </c>
      <c r="D25" s="43">
        <f t="shared" ref="D25:F25" si="7">SUM(D39)</f>
        <v>161703809.78999999</v>
      </c>
      <c r="E25" s="43">
        <f t="shared" si="7"/>
        <v>66906.559999999998</v>
      </c>
      <c r="F25" s="43">
        <f t="shared" si="7"/>
        <v>16779</v>
      </c>
      <c r="G25" s="118"/>
    </row>
    <row r="26" spans="1:10" ht="15.75" thickBot="1" x14ac:dyDescent="0.3">
      <c r="A26" s="145" t="s">
        <v>257</v>
      </c>
      <c r="B26" s="145" t="s">
        <v>84</v>
      </c>
      <c r="C26" s="146">
        <f>SUM(C23+C24-C25)</f>
        <v>787693796.55999994</v>
      </c>
      <c r="D26" s="146">
        <f t="shared" ref="D26:F26" si="8">SUM(D23+D24-D25)</f>
        <v>1469994031.1199999</v>
      </c>
      <c r="E26" s="146">
        <f t="shared" si="8"/>
        <v>15742146.08</v>
      </c>
      <c r="F26" s="147">
        <f t="shared" si="8"/>
        <v>1417884.3199999998</v>
      </c>
      <c r="G26" s="118"/>
    </row>
    <row r="27" spans="1:10" ht="15.75" thickBot="1" x14ac:dyDescent="0.3">
      <c r="A27" s="135" t="s">
        <v>257</v>
      </c>
      <c r="B27" s="135" t="s">
        <v>77</v>
      </c>
      <c r="C27" s="136">
        <v>787693796.55999994</v>
      </c>
      <c r="D27" s="136">
        <v>1469994031.1199999</v>
      </c>
      <c r="E27" s="136">
        <v>15742146.08</v>
      </c>
      <c r="F27" s="137">
        <v>1417884.32</v>
      </c>
      <c r="G27" s="118"/>
    </row>
    <row r="28" spans="1:10" ht="15.75" thickBot="1" x14ac:dyDescent="0.3">
      <c r="A28" s="85" t="s">
        <v>86</v>
      </c>
      <c r="B28" s="85" t="s">
        <v>87</v>
      </c>
      <c r="C28" s="86">
        <f>SUM(C26-C27)</f>
        <v>0</v>
      </c>
      <c r="D28" s="86">
        <f t="shared" ref="D28:F28" si="9">SUM(D26-D27)</f>
        <v>0</v>
      </c>
      <c r="E28" s="86">
        <f t="shared" si="9"/>
        <v>0</v>
      </c>
      <c r="F28" s="144">
        <f t="shared" si="9"/>
        <v>-2.3283064365386963E-10</v>
      </c>
      <c r="G28" s="118"/>
    </row>
    <row r="29" spans="1:10" ht="15.75" thickBot="1" x14ac:dyDescent="0.3">
      <c r="A29" s="48"/>
      <c r="B29" s="48"/>
      <c r="C29" s="48"/>
      <c r="D29" s="48"/>
      <c r="E29" s="48"/>
      <c r="F29" s="32"/>
      <c r="G29" s="119"/>
    </row>
    <row r="30" spans="1:10" x14ac:dyDescent="0.25">
      <c r="A30" s="105"/>
      <c r="B30" s="105"/>
      <c r="C30" s="105"/>
      <c r="D30" s="105"/>
      <c r="E30" s="105"/>
      <c r="F30" s="105"/>
    </row>
    <row r="31" spans="1:10" ht="15" customHeight="1" thickBot="1" x14ac:dyDescent="0.25"/>
    <row r="32" spans="1:10" ht="15" customHeight="1" thickBot="1" x14ac:dyDescent="0.3">
      <c r="A32" s="34"/>
      <c r="B32" s="34"/>
      <c r="C32" s="35" t="s">
        <v>72</v>
      </c>
      <c r="D32" s="35" t="s">
        <v>72</v>
      </c>
      <c r="E32" s="35" t="s">
        <v>73</v>
      </c>
      <c r="F32" s="36" t="s">
        <v>73</v>
      </c>
      <c r="J32">
        <f>6580+230+210</f>
        <v>7020</v>
      </c>
    </row>
    <row r="33" spans="1:9" ht="15" customHeight="1" thickBot="1" x14ac:dyDescent="0.35">
      <c r="A33" s="66" t="s">
        <v>151</v>
      </c>
      <c r="B33" s="37" t="s">
        <v>75</v>
      </c>
      <c r="C33" s="67" t="s">
        <v>12</v>
      </c>
      <c r="D33" s="67" t="s">
        <v>20</v>
      </c>
      <c r="E33" s="67">
        <v>242057271</v>
      </c>
      <c r="F33" s="68">
        <v>265056630</v>
      </c>
    </row>
    <row r="34" spans="1:9" ht="15" customHeight="1" thickBot="1" x14ac:dyDescent="0.3">
      <c r="A34" s="38"/>
      <c r="B34" s="38"/>
      <c r="C34" s="69">
        <v>111005100012</v>
      </c>
      <c r="D34" s="69">
        <v>111005100025</v>
      </c>
      <c r="E34" s="69">
        <v>111005100003</v>
      </c>
      <c r="F34" s="70">
        <v>111005100024</v>
      </c>
    </row>
    <row r="35" spans="1:9" ht="15" customHeight="1" thickBot="1" x14ac:dyDescent="0.3">
      <c r="A35" s="35" t="s">
        <v>76</v>
      </c>
      <c r="B35" s="35" t="s">
        <v>77</v>
      </c>
      <c r="C35" s="39">
        <f>SUM(C20)</f>
        <v>784954591.55999994</v>
      </c>
      <c r="D35" s="39">
        <f t="shared" ref="D35:F35" si="10">SUM(D20)</f>
        <v>1368953153.6599998</v>
      </c>
      <c r="E35" s="39">
        <f t="shared" si="10"/>
        <v>22756816.079999998</v>
      </c>
      <c r="F35" s="39">
        <f t="shared" si="10"/>
        <v>1417884.3199999998</v>
      </c>
    </row>
    <row r="36" spans="1:9" ht="15" customHeight="1" x14ac:dyDescent="0.25">
      <c r="A36" s="41" t="s">
        <v>78</v>
      </c>
      <c r="B36" s="41" t="s">
        <v>79</v>
      </c>
      <c r="C36" s="94">
        <v>195311162.16</v>
      </c>
      <c r="D36" s="91">
        <v>771282870</v>
      </c>
      <c r="E36" s="91">
        <v>12374121</v>
      </c>
      <c r="F36" s="95">
        <v>529718</v>
      </c>
    </row>
    <row r="37" spans="1:9" ht="15" customHeight="1" x14ac:dyDescent="0.25">
      <c r="A37" s="44" t="s">
        <v>80</v>
      </c>
      <c r="B37" s="44" t="s">
        <v>79</v>
      </c>
      <c r="C37" s="72">
        <f>SUM('PENDIENTES EXTRACTO'!L607)</f>
        <v>196886222.16</v>
      </c>
      <c r="D37" s="71">
        <v>677715465.53999996</v>
      </c>
      <c r="E37" s="80">
        <f>SUM('PENDIENTES EXTRACTO'!F54)</f>
        <v>19857781</v>
      </c>
      <c r="F37" s="74">
        <f>SUM('PENDIENTES EXTRACTO'!F45)</f>
        <v>529718</v>
      </c>
      <c r="H37" s="84"/>
      <c r="I37" s="75" t="s">
        <v>251</v>
      </c>
    </row>
    <row r="38" spans="1:9" ht="15" customHeight="1" x14ac:dyDescent="0.25">
      <c r="A38" s="44" t="s">
        <v>81</v>
      </c>
      <c r="B38" s="44" t="s">
        <v>79</v>
      </c>
      <c r="C38" s="72">
        <v>4878028.9000000004</v>
      </c>
      <c r="D38" s="71">
        <v>5511824.79</v>
      </c>
      <c r="E38" s="80">
        <f>SUM('PENDIENTES EXTRACTO'!E54)</f>
        <v>66896.56</v>
      </c>
      <c r="F38" s="82">
        <f>SUM('PENDIENTES EXTRACTO'!E45)</f>
        <v>16779</v>
      </c>
      <c r="H38" s="93"/>
      <c r="I38" s="75" t="s">
        <v>252</v>
      </c>
    </row>
    <row r="39" spans="1:9" ht="15.75" customHeight="1" x14ac:dyDescent="0.25">
      <c r="A39" s="44" t="s">
        <v>82</v>
      </c>
      <c r="B39" s="44" t="s">
        <v>79</v>
      </c>
      <c r="C39" s="92">
        <v>711171.9</v>
      </c>
      <c r="D39" s="92">
        <v>161703809.78999999</v>
      </c>
      <c r="E39" s="92">
        <v>66906.559999999998</v>
      </c>
      <c r="F39" s="96">
        <v>16779</v>
      </c>
    </row>
    <row r="40" spans="1:9" ht="15.75" customHeight="1" thickBot="1" x14ac:dyDescent="0.3">
      <c r="A40" s="46" t="s">
        <v>83</v>
      </c>
      <c r="B40" s="46" t="s">
        <v>84</v>
      </c>
      <c r="C40" s="47">
        <f t="shared" ref="C40:F40" si="11">+C35+C36-C37+C38-C39</f>
        <v>787546388.55999994</v>
      </c>
      <c r="D40" s="81">
        <f t="shared" si="11"/>
        <v>1306328573.1199999</v>
      </c>
      <c r="E40" s="81">
        <f t="shared" si="11"/>
        <v>15273146.079999998</v>
      </c>
      <c r="F40" s="83">
        <f t="shared" si="11"/>
        <v>1417884.3199999998</v>
      </c>
    </row>
    <row r="41" spans="1:9" ht="15.75" customHeight="1" thickBot="1" x14ac:dyDescent="0.3">
      <c r="A41" s="35" t="s">
        <v>85</v>
      </c>
      <c r="B41" s="35" t="s">
        <v>77</v>
      </c>
      <c r="C41" s="39">
        <v>787693796.55999994</v>
      </c>
      <c r="D41" s="39">
        <v>1469994031.1199999</v>
      </c>
      <c r="E41" s="39">
        <v>15742146.08</v>
      </c>
      <c r="F41" s="40">
        <v>1417884.32</v>
      </c>
    </row>
    <row r="42" spans="1:9" ht="15.75" customHeight="1" thickBot="1" x14ac:dyDescent="0.3">
      <c r="A42" s="85" t="s">
        <v>86</v>
      </c>
      <c r="B42" s="85" t="s">
        <v>87</v>
      </c>
      <c r="C42" s="86">
        <f t="shared" ref="C42:F42" si="12">+C40-C41</f>
        <v>-147408</v>
      </c>
      <c r="D42" s="86">
        <f t="shared" si="12"/>
        <v>-163665458</v>
      </c>
      <c r="E42" s="86">
        <f t="shared" si="12"/>
        <v>-469000.00000000186</v>
      </c>
      <c r="F42" s="87">
        <f t="shared" si="12"/>
        <v>0</v>
      </c>
    </row>
    <row r="43" spans="1:9" ht="15.75" customHeight="1" thickBot="1" x14ac:dyDescent="0.3">
      <c r="A43" s="48"/>
      <c r="B43" s="48"/>
      <c r="C43" s="48"/>
      <c r="D43" s="48"/>
      <c r="E43" s="48"/>
      <c r="F43" s="49"/>
    </row>
    <row r="44" spans="1:9" ht="15.75" customHeight="1" thickBot="1" x14ac:dyDescent="0.25"/>
    <row r="45" spans="1:9" ht="15.75" customHeight="1" x14ac:dyDescent="0.25">
      <c r="A45" s="76" t="s">
        <v>249</v>
      </c>
      <c r="B45" s="77"/>
      <c r="C45" s="88">
        <f>SUM(C4+C37-C38+C7-C8+C5-C6)</f>
        <v>785101999.55999994</v>
      </c>
      <c r="D45" s="88">
        <f>SUM(D4+D37-D38+D7-D8+D5-D6)</f>
        <v>1532618611.6599998</v>
      </c>
      <c r="E45" s="88">
        <f>SUM(E4+E37-E38+E7-E8+E5-E6)</f>
        <v>23225816.080000002</v>
      </c>
      <c r="F45" s="88">
        <f>SUM(F4+F37-F38+F7-F8+F5-F6)</f>
        <v>1417884.3199999998</v>
      </c>
      <c r="H45" s="90"/>
      <c r="I45" s="75" t="s">
        <v>253</v>
      </c>
    </row>
    <row r="46" spans="1:9" ht="15.75" customHeight="1" thickBot="1" x14ac:dyDescent="0.3">
      <c r="A46" s="78" t="s">
        <v>250</v>
      </c>
      <c r="B46" s="79"/>
      <c r="C46" s="89">
        <f>SUM(C10-C39+C36)</f>
        <v>787693796.55999994</v>
      </c>
      <c r="D46" s="89">
        <f>SUM(D10-D39+D36)</f>
        <v>1469994031.1199999</v>
      </c>
      <c r="E46" s="89">
        <f>SUM(E10-E39+E36)</f>
        <v>15742146.08</v>
      </c>
      <c r="F46" s="89">
        <f>SUM(F10-F39+F36)</f>
        <v>1417884.3199999998</v>
      </c>
    </row>
    <row r="47" spans="1:9" ht="15.75" customHeight="1" x14ac:dyDescent="0.2"/>
    <row r="48" spans="1:9" ht="14.25" x14ac:dyDescent="0.2">
      <c r="A48" s="97" t="s">
        <v>45</v>
      </c>
      <c r="C48" s="54" t="s">
        <v>45</v>
      </c>
      <c r="D48" s="54" t="s">
        <v>45</v>
      </c>
      <c r="E48" s="54" t="s">
        <v>45</v>
      </c>
      <c r="F48" s="54" t="s">
        <v>45</v>
      </c>
      <c r="G48" s="54" t="s">
        <v>45</v>
      </c>
      <c r="H48" s="99" t="s">
        <v>45</v>
      </c>
    </row>
    <row r="49" spans="1:6" ht="15.75" customHeight="1" x14ac:dyDescent="0.2">
      <c r="A49" t="s">
        <v>45</v>
      </c>
      <c r="C49" s="98" t="s">
        <v>45</v>
      </c>
      <c r="D49" s="98" t="s">
        <v>45</v>
      </c>
      <c r="E49" s="98" t="s">
        <v>45</v>
      </c>
      <c r="F49" s="98" t="s">
        <v>45</v>
      </c>
    </row>
    <row r="50" spans="1:6" ht="15.75" customHeight="1" x14ac:dyDescent="0.2">
      <c r="D50" s="99" t="s">
        <v>45</v>
      </c>
    </row>
    <row r="51" spans="1:6" ht="15.75" customHeight="1" x14ac:dyDescent="0.2"/>
    <row r="52" spans="1:6" ht="15.75" customHeight="1" x14ac:dyDescent="0.2"/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</sheetData>
  <mergeCells count="3">
    <mergeCell ref="G1:G12"/>
    <mergeCell ref="G14:G22"/>
    <mergeCell ref="G23:G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PENDIENTES EXTRACTO</vt:lpstr>
      <vt:lpstr>PENDIENTES LIBROS</vt:lpstr>
      <vt:lpstr>CUADRE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PcHogar</dc:creator>
  <cp:lastModifiedBy>Santiago Sierra Santamaria</cp:lastModifiedBy>
  <dcterms:created xsi:type="dcterms:W3CDTF">2010-06-24T23:16:47Z</dcterms:created>
  <dcterms:modified xsi:type="dcterms:W3CDTF">2023-11-21T18:14:02Z</dcterms:modified>
</cp:coreProperties>
</file>